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5e42a03e6524a4d3/CARLOS PEREZ/SISOL/PROPUESTA 2/Respuesta Motos emergencia/"/>
    </mc:Choice>
  </mc:AlternateContent>
  <xr:revisionPtr revIDLastSave="3" documentId="11_9B8EC2598D706FE525546C16AA566C02B04E297B" xr6:coauthVersionLast="47" xr6:coauthVersionMax="47" xr10:uidLastSave="{ADDCDDE7-BC87-4306-A9DC-FF6FEB562428}"/>
  <bookViews>
    <workbookView xWindow="-108" yWindow="-108" windowWidth="23256" windowHeight="12456" tabRatio="500" activeTab="3" xr2:uid="{00000000-000D-0000-FFFF-FFFF00000000}"/>
  </bookViews>
  <sheets>
    <sheet name="1. Portada y Resumen" sheetId="1" r:id="rId1"/>
    <sheet name="2. Supuestos" sheetId="2" r:id="rId2"/>
    <sheet name="3. Costeo por Moto" sheetId="3" r:id="rId3"/>
    <sheet name="4. Central Despacho" sheetId="4" r:id="rId4"/>
    <sheet name="5. Piloto 33 Motos" sheetId="5" r:id="rId5"/>
    <sheet name="6. Propuesta A vs B" sheetId="6" r:id="rId6"/>
    <sheet name="7. Proyección 5 Años"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3" l="1"/>
  <c r="E6" i="3" s="1"/>
  <c r="C13" i="6"/>
  <c r="C8" i="6"/>
  <c r="D13" i="5"/>
  <c r="D7" i="5"/>
  <c r="D6" i="5"/>
  <c r="E22" i="4"/>
  <c r="E18" i="4"/>
  <c r="D10" i="4"/>
  <c r="D9" i="4"/>
  <c r="D8" i="4"/>
  <c r="D6" i="4"/>
  <c r="C6" i="4"/>
  <c r="E6" i="4" s="1"/>
  <c r="E7" i="4" s="1"/>
  <c r="E16" i="3"/>
  <c r="E20" i="3" s="1"/>
  <c r="E12" i="3"/>
  <c r="D11" i="3"/>
  <c r="D10" i="3"/>
  <c r="D9" i="3"/>
  <c r="D7" i="3"/>
  <c r="E7" i="3"/>
  <c r="D6" i="3"/>
  <c r="B69" i="2"/>
  <c r="B72" i="2" s="1"/>
  <c r="B65" i="2"/>
  <c r="E25" i="4" s="1"/>
  <c r="C8" i="5" s="1"/>
  <c r="E8" i="5" s="1"/>
  <c r="D8" i="6" s="1"/>
  <c r="E8" i="6" s="1"/>
  <c r="B59" i="2"/>
  <c r="B46" i="2"/>
  <c r="E26" i="3" s="1"/>
  <c r="B36" i="2"/>
  <c r="E25" i="3" s="1"/>
  <c r="E27" i="3" s="1"/>
  <c r="E8" i="3" l="1"/>
  <c r="E11" i="3"/>
  <c r="E10" i="3"/>
  <c r="E9" i="3"/>
  <c r="E13" i="3" s="1"/>
  <c r="E19" i="3" s="1"/>
  <c r="E21" i="3" s="1"/>
  <c r="E9" i="4"/>
  <c r="E10" i="4"/>
  <c r="E8" i="4"/>
  <c r="E11" i="4" s="1"/>
  <c r="E21" i="4" s="1"/>
  <c r="E23" i="4" s="1"/>
  <c r="C6" i="5"/>
  <c r="E6" i="5" s="1"/>
  <c r="C7" i="5"/>
  <c r="E7" i="5" s="1"/>
  <c r="B70" i="2"/>
  <c r="B76" i="2" s="1"/>
  <c r="B71" i="2"/>
  <c r="E24" i="4" l="1"/>
  <c r="C14" i="5"/>
  <c r="E14" i="5" s="1"/>
  <c r="C13" i="5"/>
  <c r="E13" i="5" s="1"/>
  <c r="E22" i="3"/>
  <c r="E9" i="5"/>
  <c r="E25" i="5"/>
  <c r="D6" i="6"/>
  <c r="B6" i="6"/>
  <c r="D7" i="6"/>
  <c r="E7" i="6" s="1"/>
  <c r="B7" i="6"/>
  <c r="C7" i="6" s="1"/>
  <c r="D12" i="6" l="1"/>
  <c r="E15" i="5"/>
  <c r="E16" i="5" s="1"/>
  <c r="E20" i="5" s="1"/>
  <c r="E26" i="5" s="1"/>
  <c r="B12" i="6"/>
  <c r="B8" i="7"/>
  <c r="C6" i="6"/>
  <c r="C9" i="6" s="1"/>
  <c r="B9" i="6"/>
  <c r="D9" i="6"/>
  <c r="E6" i="6"/>
  <c r="E9" i="6" s="1"/>
  <c r="B7" i="7"/>
  <c r="E19" i="5"/>
  <c r="D13" i="6"/>
  <c r="E13" i="6" s="1"/>
  <c r="B9" i="7"/>
  <c r="E21" i="5" l="1"/>
  <c r="C8" i="7"/>
  <c r="E12" i="6"/>
  <c r="E14" i="6" s="1"/>
  <c r="D14" i="6"/>
  <c r="D16" i="6" s="1"/>
  <c r="G7" i="7"/>
  <c r="B10" i="7"/>
  <c r="E16" i="6"/>
  <c r="C12" i="6"/>
  <c r="C14" i="6" s="1"/>
  <c r="C16" i="6" s="1"/>
  <c r="B14" i="6"/>
  <c r="B16" i="6" s="1"/>
  <c r="E31" i="5"/>
  <c r="C9" i="7"/>
  <c r="D9" i="7" s="1"/>
  <c r="E9" i="7" s="1"/>
  <c r="F9" i="7" s="1"/>
  <c r="E27" i="5"/>
  <c r="E29" i="5" s="1"/>
  <c r="B18" i="6" l="1"/>
  <c r="D8" i="7"/>
  <c r="C10" i="7"/>
  <c r="B11" i="7"/>
  <c r="D18" i="6"/>
  <c r="G9" i="7"/>
  <c r="E30" i="5"/>
  <c r="C11" i="7" l="1"/>
  <c r="E8" i="7"/>
  <c r="D10" i="7"/>
  <c r="F8" i="7" l="1"/>
  <c r="F10" i="7" s="1"/>
  <c r="E10" i="7"/>
  <c r="G10" i="7" s="1"/>
  <c r="G8" i="7"/>
  <c r="D11" i="7"/>
  <c r="E11" i="7" s="1"/>
  <c r="F11" i="7" s="1"/>
  <c r="G11" i="7" s="1"/>
</calcChain>
</file>

<file path=xl/sharedStrings.xml><?xml version="1.0" encoding="utf-8"?>
<sst xmlns="http://schemas.openxmlformats.org/spreadsheetml/2006/main" count="428" uniqueCount="307">
  <si>
    <t>MUNICIPALIDAD METROPOLITANA DE LIMA  ·  SISOL SALUD</t>
  </si>
  <si>
    <t>Documento de Asesoría · GSS · Mayo 2026</t>
  </si>
  <si>
    <t>PROYECTO GRAVE</t>
  </si>
  <si>
    <t>Grupo de Respuesta Avanzada para Vidas en Emergencia</t>
  </si>
  <si>
    <t>Costeo Financiero Completo del Piloto Metropolitano de Motos Paramédicas</t>
  </si>
  <si>
    <t>Dirigido a:</t>
  </si>
  <si>
    <t>Gerencia de Servicios de Salud — SISOL SALUD</t>
  </si>
  <si>
    <t>Elaborado por:</t>
  </si>
  <si>
    <t>Asesoría de Gerencia de Servicios de Salud</t>
  </si>
  <si>
    <t>Versión:</t>
  </si>
  <si>
    <t>Versión 2.0 — Mayo 2026</t>
  </si>
  <si>
    <t>Carácter:</t>
  </si>
  <si>
    <t>Trabajo interno · Confidencial</t>
  </si>
  <si>
    <t>RESUMEN EJECUTIVO DEL PILOTO</t>
  </si>
  <si>
    <t>Indicador clave</t>
  </si>
  <si>
    <t>Valor</t>
  </si>
  <si>
    <t>Observación</t>
  </si>
  <si>
    <t>Motos operativas</t>
  </si>
  <si>
    <t>Distribuidas en 4 distritos</t>
  </si>
  <si>
    <t>Cobertura poblacional</t>
  </si>
  <si>
    <t>2,073,965 habitantes</t>
  </si>
  <si>
    <t>20% de Lima Metropolitana</t>
  </si>
  <si>
    <t>Personal operativo</t>
  </si>
  <si>
    <t>201 personas</t>
  </si>
  <si>
    <t>99 TEM + 99 enfermeros + 3 operadores</t>
  </si>
  <si>
    <t>Modalidad de contratación</t>
  </si>
  <si>
    <t>Tercerización por servicios</t>
  </si>
  <si>
    <t>Con SCTR obligatorio riesgo IV-V</t>
  </si>
  <si>
    <t>Tiempo de respuesta objetivo</t>
  </si>
  <si>
    <t>5 a 8 minutos</t>
  </si>
  <si>
    <t>Frente a 20-30 min actual de ambulancia</t>
  </si>
  <si>
    <t>Operación</t>
  </si>
  <si>
    <t>24/7</t>
  </si>
  <si>
    <t>2 turnos de 12 horas con factor cobertura 1.5</t>
  </si>
  <si>
    <t>Inversión inicial total</t>
  </si>
  <si>
    <t>S/ 1,640,800</t>
  </si>
  <si>
    <t>Una sola vez al iniciar</t>
  </si>
  <si>
    <t>Gasto recurrente anual</t>
  </si>
  <si>
    <t>S/ 8,821,236</t>
  </si>
  <si>
    <t>Operación 12 meses</t>
  </si>
  <si>
    <t>TOTAL año 1</t>
  </si>
  <si>
    <t>S/ 10,462,036</t>
  </si>
  <si>
    <t>Inversión + operación 12 meses</t>
  </si>
  <si>
    <t>Aporte MML</t>
  </si>
  <si>
    <t>11.2% (S/ 1,174,800)</t>
  </si>
  <si>
    <t>Solo motos equipadas</t>
  </si>
  <si>
    <t>Aporte SISOL</t>
  </si>
  <si>
    <t>88.8% (S/ 9,287,236)</t>
  </si>
  <si>
    <t>Resto del proyecto</t>
  </si>
  <si>
    <t>CONVENCIÓN DE COLORES (estándar financiero)</t>
  </si>
  <si>
    <t>Azul</t>
  </si>
  <si>
    <t>Datos modificables por el usuario (supuestos editables)</t>
  </si>
  <si>
    <t>Negro</t>
  </si>
  <si>
    <t>Fórmulas y cálculos automáticos</t>
  </si>
  <si>
    <t>Verde</t>
  </si>
  <si>
    <t>Referencias a otras hojas del libro</t>
  </si>
  <si>
    <t>Fondo amarillo claro</t>
  </si>
  <si>
    <t>Celdas de entrada modificables</t>
  </si>
  <si>
    <t>SUPUESTOS DEL MODELO FINANCIERO</t>
  </si>
  <si>
    <t>Modifique las celdas con fondo amarillo para recalcular todos los cuadros automáticamente</t>
  </si>
  <si>
    <t>A. Parámetros generales del piloto</t>
  </si>
  <si>
    <t>Concepto</t>
  </si>
  <si>
    <t>Unidad</t>
  </si>
  <si>
    <t>Fuente / Observación</t>
  </si>
  <si>
    <t>Número de motos del piloto</t>
  </si>
  <si>
    <t>unidades</t>
  </si>
  <si>
    <t>PPT MML — distribución 4 distritos</t>
  </si>
  <si>
    <t>Distritos del piloto</t>
  </si>
  <si>
    <t>distritos</t>
  </si>
  <si>
    <t>Ate, Comas, VMT, Cercado de Lima</t>
  </si>
  <si>
    <t>Población cubierta</t>
  </si>
  <si>
    <t>habitantes</t>
  </si>
  <si>
    <t>INEI 2025</t>
  </si>
  <si>
    <t>Horas de operación diaria</t>
  </si>
  <si>
    <t>horas</t>
  </si>
  <si>
    <t>Operación continua 24/7</t>
  </si>
  <si>
    <t>Días de operación al año</t>
  </si>
  <si>
    <t>días</t>
  </si>
  <si>
    <t>Sin pausa</t>
  </si>
  <si>
    <t>Turnos por día</t>
  </si>
  <si>
    <t>turnos</t>
  </si>
  <si>
    <t>12 horas cada uno</t>
  </si>
  <si>
    <t>Factor de cobertura</t>
  </si>
  <si>
    <t>ratio</t>
  </si>
  <si>
    <t>Descansos, vacaciones, licencias</t>
  </si>
  <si>
    <t>Número de personas por moto</t>
  </si>
  <si>
    <t>personas</t>
  </si>
  <si>
    <t>1 TEM + 1 Enfermero</t>
  </si>
  <si>
    <t>B. Honorarios y remuneraciones</t>
  </si>
  <si>
    <t>Honorario mensual Conductor TEM</t>
  </si>
  <si>
    <t>S/ /mes</t>
  </si>
  <si>
    <t>Mercado local 2026</t>
  </si>
  <si>
    <t>Honorario mensual Enfermero BLS</t>
  </si>
  <si>
    <t>Honorario mensual Operador Central</t>
  </si>
  <si>
    <t>Margen del operador tercerizado</t>
  </si>
  <si>
    <t>porcentaje</t>
  </si>
  <si>
    <t>15% sobre honorarios base</t>
  </si>
  <si>
    <t>Tasa SCTR Salud</t>
  </si>
  <si>
    <t>Obligatorio riesgo IV-V</t>
  </si>
  <si>
    <t>Tasa SCTR Pensiones</t>
  </si>
  <si>
    <t>Obligatorio</t>
  </si>
  <si>
    <t>Capacitación continua mensual por moto</t>
  </si>
  <si>
    <t>BLS, PHTLS, manejo defensivo</t>
  </si>
  <si>
    <t>C. Inversión inicial MML por unidad</t>
  </si>
  <si>
    <t>Moto Honda XRE 300</t>
  </si>
  <si>
    <t>S/</t>
  </si>
  <si>
    <t>Precio de referencia 2026</t>
  </si>
  <si>
    <t>Acondicionamiento y rotulado</t>
  </si>
  <si>
    <t>Pintura, logos, identificación</t>
  </si>
  <si>
    <t>Topcase y maletas laterales</t>
  </si>
  <si>
    <t>Topcase 55L + 2 maletas 35L</t>
  </si>
  <si>
    <t>Circulinas y sirena LED</t>
  </si>
  <si>
    <t>Lightbar LED + sirena 100W</t>
  </si>
  <si>
    <t>GPS y rastreo satelital</t>
  </si>
  <si>
    <t>GPS+GLONASS, 4G LTE</t>
  </si>
  <si>
    <t>Sistema de comunicaciones</t>
  </si>
  <si>
    <t>Radio digital DMR/VHF</t>
  </si>
  <si>
    <t>Soporte tablet rugerizado</t>
  </si>
  <si>
    <t>Anti-vibración + cargador</t>
  </si>
  <si>
    <t>Defensas y protecciones</t>
  </si>
  <si>
    <t>Defensas tubulares y cubre cárter</t>
  </si>
  <si>
    <t>Mica frontal y asiento</t>
  </si>
  <si>
    <t>Para jornadas extendidas</t>
  </si>
  <si>
    <t>Instalación y certificación</t>
  </si>
  <si>
    <t>Eléctrico + certificación SUTRAN</t>
  </si>
  <si>
    <t>TOTAL inversión MML por unidad</t>
  </si>
  <si>
    <t>Suma fila por fila</t>
  </si>
  <si>
    <t>D. Inversión inicial SISOL por unidad (Maletín RRM)</t>
  </si>
  <si>
    <t>Bolsillo A (rojo) — DEA + paro CR</t>
  </si>
  <si>
    <t>Desfibrilador y mascarilla</t>
  </si>
  <si>
    <t>Bolsillo B (naranja) — Trauma</t>
  </si>
  <si>
    <t>Torniquetes CAT + hemostáticos</t>
  </si>
  <si>
    <t>Bolsillo C (azul) — Vía aérea</t>
  </si>
  <si>
    <t>BVM + O2 portátil + cánulas</t>
  </si>
  <si>
    <t>Bolsillo D (morado) — Anafilaxia</t>
  </si>
  <si>
    <t>Adrenalina + medicamentos</t>
  </si>
  <si>
    <t>Bolsillo E (verde) — Monitoreo</t>
  </si>
  <si>
    <t>Glucómetro + tensiómetro + oxímetro</t>
  </si>
  <si>
    <t>Maletín contenedor</t>
  </si>
  <si>
    <t>Impermeable, compartimentado</t>
  </si>
  <si>
    <t>TOTAL inversión SISOL por unidad</t>
  </si>
  <si>
    <t>E. Costo variable mensual por moto</t>
  </si>
  <si>
    <t>Reposición insumos médicos</t>
  </si>
  <si>
    <t>10% del equipamiento médico</t>
  </si>
  <si>
    <t>Mantenimiento moto</t>
  </si>
  <si>
    <t>Servicios cada 1,000 km</t>
  </si>
  <si>
    <t>Combustible</t>
  </si>
  <si>
    <t>~600 km/semana</t>
  </si>
  <si>
    <t>SOAT vehicular</t>
  </si>
  <si>
    <t>Anualizado</t>
  </si>
  <si>
    <t>Seguro responsabilidad profesional</t>
  </si>
  <si>
    <t>Mala praxis personal</t>
  </si>
  <si>
    <t>Reposición EPP del personal</t>
  </si>
  <si>
    <t>Cascos, chaquetas, botas</t>
  </si>
  <si>
    <t>Insumos administrativos</t>
  </si>
  <si>
    <t>Plan datos, papelería</t>
  </si>
  <si>
    <t>Reposición batería DEA</t>
  </si>
  <si>
    <t>Cada 2 años amortizado</t>
  </si>
  <si>
    <t>Limpieza y desinfección</t>
  </si>
  <si>
    <t>Productos hospitalarios</t>
  </si>
  <si>
    <t>TOTAL costo variable mensual por moto</t>
  </si>
  <si>
    <t>F. Inversión inicial Central de Despacho (en sede SISOL existente)</t>
  </si>
  <si>
    <t>Software CAD básico interoperable</t>
  </si>
  <si>
    <t>Licenciamiento o desarrollo</t>
  </si>
  <si>
    <t>Capacitación inicial personal central</t>
  </si>
  <si>
    <t>Operadores y supervisión</t>
  </si>
  <si>
    <t>TOTAL inversión inicial central</t>
  </si>
  <si>
    <t>G. Costo mensual operativo de la Central</t>
  </si>
  <si>
    <t>Valor / Fórmula</t>
  </si>
  <si>
    <t>Operadores tercerizados (3 personas)</t>
  </si>
  <si>
    <t>Honorario × 2 turnos × factor cobertura</t>
  </si>
  <si>
    <t>Margen tercero (15%)</t>
  </si>
  <si>
    <t>Sobre honorarios base</t>
  </si>
  <si>
    <t>SCTR Salud (1.55%)</t>
  </si>
  <si>
    <t>Obligatorio riesgo</t>
  </si>
  <si>
    <t>SCTR Pensiones (1.30%)</t>
  </si>
  <si>
    <t>Servicios (telefonía, internet)</t>
  </si>
  <si>
    <t>Prorrateado de SISOL</t>
  </si>
  <si>
    <t>Mantenimiento software</t>
  </si>
  <si>
    <t>Plataforma de despacho</t>
  </si>
  <si>
    <t>Papelería y otros</t>
  </si>
  <si>
    <t>TOTAL costo mensual central</t>
  </si>
  <si>
    <t>COSTEO POR UNA UNIDAD OPERATIVA — MODALIDAD TERCERIZACIÓN</t>
  </si>
  <si>
    <t>Cálculos basados en los supuestos editables de la hoja 2. Modifique esa hoja para recalcular automáticamente.</t>
  </si>
  <si>
    <t>A. COSTO FIJO MENSUAL DEL PERSONAL</t>
  </si>
  <si>
    <t>Cálculo</t>
  </si>
  <si>
    <t>Cantidad</t>
  </si>
  <si>
    <t>Honorario unitario</t>
  </si>
  <si>
    <t>Subtotal mensual</t>
  </si>
  <si>
    <t>Conductor TEM</t>
  </si>
  <si>
    <t>2 turnos × factor cobertura 1.5</t>
  </si>
  <si>
    <t>Modalidad tercerización</t>
  </si>
  <si>
    <t>Enfermero asistencial BLS</t>
  </si>
  <si>
    <t>Honorarios base por moto (suma)</t>
  </si>
  <si>
    <t>TEM + Enfermero</t>
  </si>
  <si>
    <t>Total honorarios sin cargas</t>
  </si>
  <si>
    <t>Margen del tercero (15%)</t>
  </si>
  <si>
    <t>Gestión administrativa</t>
  </si>
  <si>
    <t>D.S. 003-98-SA</t>
  </si>
  <si>
    <t>Capacitación continua mensualizada</t>
  </si>
  <si>
    <t>Por unidad</t>
  </si>
  <si>
    <t>TOTAL COSTO FIJO MENSUAL POR MOTO</t>
  </si>
  <si>
    <t>B. COSTO VARIABLE MENSUAL POR MOTO</t>
  </si>
  <si>
    <t>Total costo variable mensual</t>
  </si>
  <si>
    <t>Detalle en hoja 2 sección E</t>
  </si>
  <si>
    <t>C. COSTO TOTAL POR MOTO</t>
  </si>
  <si>
    <t>Costo fijo mensual</t>
  </si>
  <si>
    <t>De sección A</t>
  </si>
  <si>
    <t>Costo variable mensual</t>
  </si>
  <si>
    <t>De sección B</t>
  </si>
  <si>
    <t>COSTO MENSUAL POR MOTO</t>
  </si>
  <si>
    <t>Total fijo + variable</t>
  </si>
  <si>
    <t>COSTO ANUAL POR MOTO</t>
  </si>
  <si>
    <t>Mensual × 12 meses</t>
  </si>
  <si>
    <t>D. INVERSIÓN INICIAL POR MOTO (UNA SOLA VEZ)</t>
  </si>
  <si>
    <t>Aporte MML (motos y equipamiento técnico)</t>
  </si>
  <si>
    <t>Honda XRE 300 equipada</t>
  </si>
  <si>
    <t>Aporte SISOL (equipamiento médico)</t>
  </si>
  <si>
    <t>Maletín RRM completo</t>
  </si>
  <si>
    <t>INVERSIÓN INICIAL POR UNIDAD</t>
  </si>
  <si>
    <t>MML + SISOL</t>
  </si>
  <si>
    <t>COSTEO DE LA CENTRAL DE DESPACHO</t>
  </si>
  <si>
    <t>Central operada en sede SISOL existente — 3 operadores tercerizados (1 por turno + factor cobertura)</t>
  </si>
  <si>
    <t>A. PERSONAL DE LA CENTRAL</t>
  </si>
  <si>
    <t>Detalle</t>
  </si>
  <si>
    <t>Operadores de central tercerizados</t>
  </si>
  <si>
    <t>1 operador por turno de 12 horas</t>
  </si>
  <si>
    <t>Honorarios base</t>
  </si>
  <si>
    <t>Subtotal personal central</t>
  </si>
  <si>
    <t>B. OTROS COSTOS OPERATIVOS DE LA CENTRAL</t>
  </si>
  <si>
    <t>Prorrateado de SISOL existente</t>
  </si>
  <si>
    <t>Mantenimiento de software</t>
  </si>
  <si>
    <t>Local, electricidad, agua</t>
  </si>
  <si>
    <t>Cubierto por sede SISOL existente</t>
  </si>
  <si>
    <t>Subtotal otros costos</t>
  </si>
  <si>
    <t>C. RESUMEN DE LA CENTRAL</t>
  </si>
  <si>
    <t>Personal de central</t>
  </si>
  <si>
    <t>Sección A</t>
  </si>
  <si>
    <t>Otros costos operativos</t>
  </si>
  <si>
    <t>Sección B</t>
  </si>
  <si>
    <t>TOTAL CENTRAL MENSUAL</t>
  </si>
  <si>
    <t>Personal + operación</t>
  </si>
  <si>
    <t>TOTAL CENTRAL ANUAL</t>
  </si>
  <si>
    <t>Mensual × 12</t>
  </si>
  <si>
    <t>INVERSIÓN INICIAL CENTRAL</t>
  </si>
  <si>
    <t>Software + capacitación</t>
  </si>
  <si>
    <t>PROYECCIÓN FINANCIERA DEL PILOTO COMPLETO</t>
  </si>
  <si>
    <t>Extrapolación del costeo unitario al piloto completo del proyecto</t>
  </si>
  <si>
    <t>A. INVERSIÓN INICIAL TOTAL DEL PILOTO</t>
  </si>
  <si>
    <t>Aporta</t>
  </si>
  <si>
    <t>Total (S/)</t>
  </si>
  <si>
    <t>Motos Honda XRE 300 equipadas</t>
  </si>
  <si>
    <t>MML</t>
  </si>
  <si>
    <t>Equipamiento médico (Maletín RRM)</t>
  </si>
  <si>
    <t>SISOL</t>
  </si>
  <si>
    <t>Inversión inicial de la central</t>
  </si>
  <si>
    <t>TOTAL INVERSIÓN INICIAL</t>
  </si>
  <si>
    <t>B. GASTO RECURRENTE MENSUAL DEL PILOTO</t>
  </si>
  <si>
    <t>Operación de motos (personal + insumos)</t>
  </si>
  <si>
    <t>Operación de la central</t>
  </si>
  <si>
    <t>TOTAL GASTO MENSUAL</t>
  </si>
  <si>
    <t>TOTAL GASTO ANUAL (× 12 meses)</t>
  </si>
  <si>
    <t>C. PROYECCIÓN AÑO 1 COMPLETO</t>
  </si>
  <si>
    <t>Inversión inicial (una sola vez)</t>
  </si>
  <si>
    <t>TOTAL AÑO 1 DEL PROYECTO</t>
  </si>
  <si>
    <t>D. DISTRIBUCIÓN DEL ESFUERZO FINANCIERO AÑO 1</t>
  </si>
  <si>
    <t>Institución</t>
  </si>
  <si>
    <t>Monto</t>
  </si>
  <si>
    <t>MUNICIPALIDAD METROPOLITANA DE LIMA</t>
  </si>
  <si>
    <t>Aporte único: motos equipadas</t>
  </si>
  <si>
    <t>SISOL SALUD</t>
  </si>
  <si>
    <t>Equipamiento + central + operación 12 meses</t>
  </si>
  <si>
    <t>TOTAL AÑO 1</t>
  </si>
  <si>
    <t>Porcentaje MML del total</t>
  </si>
  <si>
    <t>Porcentaje SISOL del total</t>
  </si>
  <si>
    <t>Ratio MML : SISOL</t>
  </si>
  <si>
    <t>🚨 HALLAZGO CRÍTICO</t>
  </si>
  <si>
    <t>La distribución del esfuerzo financiero del año 1 muestra que SISOL asume la mayor carga económica del proyecto. Sin transferencia presupuestal explícita de la MML hacia SISOL para cubrir la operación recurrente, el proyecto NO ES FINANCIERAMENTE SOSTENIBLE para la red SISOL en el mediano plazo. SISOL debe condicionar su participación al aseguramiento del financiamiento por parte de la MML.</t>
  </si>
  <si>
    <t>COMPARATIVO DE PROPUESTAS OPERATIVAS</t>
  </si>
  <si>
    <t>Propuesta A: Integración SAMU MINSA  ·  Propuesta B: Central propia en sede SISOL</t>
  </si>
  <si>
    <t>PROPUESTA A — Integración SAMU</t>
  </si>
  <si>
    <t>PROPUESTA B — Central Propia</t>
  </si>
  <si>
    <t>Año 1</t>
  </si>
  <si>
    <t>5 años</t>
  </si>
  <si>
    <t>Inversión inicial — Motos y equipamiento técnico (MML)</t>
  </si>
  <si>
    <t>Inversión inicial — Equipamiento médico (SISOL)</t>
  </si>
  <si>
    <t>Inversión inicial — Integración / Central</t>
  </si>
  <si>
    <t>OPERACIÓN ANUAL</t>
  </si>
  <si>
    <t>Operación motos (33 unidades)</t>
  </si>
  <si>
    <t>Operación central / integración SAMU</t>
  </si>
  <si>
    <t>TOTAL OPERACIÓN</t>
  </si>
  <si>
    <t>GRAN TOTAL</t>
  </si>
  <si>
    <t>Diferencia (B − A)</t>
  </si>
  <si>
    <t>PROYECCIÓN FINANCIERA A 5 AÑOS — PROPUESTA B (CENTRAL PROPIA)</t>
  </si>
  <si>
    <t>Asume incremento anual de 4% por inflación · Sin escalamiento de motos (mantiene 33)</t>
  </si>
  <si>
    <t>Tasa de inflación anual (editable):</t>
  </si>
  <si>
    <t>Año 1
2026</t>
  </si>
  <si>
    <t>Año 2
2027</t>
  </si>
  <si>
    <t>Año 3
2028</t>
  </si>
  <si>
    <t>Año 4
2029</t>
  </si>
  <si>
    <t>Año 5
2030</t>
  </si>
  <si>
    <t>Acumulado</t>
  </si>
  <si>
    <t>Inversión inicial (única)</t>
  </si>
  <si>
    <t>Operación motos (con inflación)</t>
  </si>
  <si>
    <t>Operación central (con inflación)</t>
  </si>
  <si>
    <t>TOTAL POR AÑO</t>
  </si>
  <si>
    <t>TOTAL ACUMULADO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</si>
</sst>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quot;S/ &quot;#,##0;[Red]&quot;(S/ &quot;#,##0\);\-"/>
    <numFmt numFmtId="166" formatCode="0.0"/>
    <numFmt numFmtId="167" formatCode="0.0%"/>
    <numFmt numFmtId="168" formatCode="&quot;1 : &quot;0.00"/>
    <numFmt numFmtId="169" formatCode="&quot;S/ &quot;#,##0"/>
  </numFmts>
  <fonts count="23" x14ac:knownFonts="1">
    <font>
      <sz val="11"/>
      <color theme="1"/>
      <name val="Calibri"/>
      <family val="2"/>
      <charset val="1"/>
    </font>
    <font>
      <b/>
      <sz val="10"/>
      <color rgb="FFFFFFFF"/>
      <name val="Arial"/>
      <charset val="1"/>
    </font>
    <font>
      <i/>
      <sz val="9"/>
      <color rgb="FFFFFFFF"/>
      <name val="Arial"/>
      <charset val="1"/>
    </font>
    <font>
      <b/>
      <sz val="36"/>
      <color rgb="FF1F2552"/>
      <name val="Arial"/>
      <charset val="1"/>
    </font>
    <font>
      <i/>
      <sz val="14"/>
      <color rgb="FFBE2E32"/>
      <name val="Arial"/>
      <charset val="1"/>
    </font>
    <font>
      <sz val="12"/>
      <color rgb="FF5C5849"/>
      <name val="Arial"/>
      <charset val="1"/>
    </font>
    <font>
      <b/>
      <sz val="10"/>
      <color rgb="FFBE2E32"/>
      <name val="Arial"/>
      <charset val="1"/>
    </font>
    <font>
      <sz val="10"/>
      <name val="Arial"/>
      <charset val="1"/>
    </font>
    <font>
      <b/>
      <sz val="14"/>
      <color rgb="FFFFFFFF"/>
      <name val="Arial"/>
      <charset val="1"/>
    </font>
    <font>
      <b/>
      <sz val="11"/>
      <color rgb="FFFFFFFF"/>
      <name val="Arial"/>
      <charset val="1"/>
    </font>
    <font>
      <b/>
      <sz val="10"/>
      <name val="Arial"/>
      <charset val="1"/>
    </font>
    <font>
      <b/>
      <sz val="10"/>
      <color rgb="FF0000FF"/>
      <name val="Arial"/>
      <charset val="1"/>
    </font>
    <font>
      <b/>
      <sz val="10"/>
      <color rgb="FF008000"/>
      <name val="Arial"/>
      <charset val="1"/>
    </font>
    <font>
      <i/>
      <sz val="9"/>
      <color rgb="FF666666"/>
      <name val="Arial"/>
      <charset val="1"/>
    </font>
    <font>
      <b/>
      <sz val="12"/>
      <color rgb="FF1F2552"/>
      <name val="Arial"/>
      <charset val="1"/>
    </font>
    <font>
      <sz val="10"/>
      <color rgb="FF0000FF"/>
      <name val="Arial"/>
      <charset val="1"/>
    </font>
    <font>
      <sz val="10"/>
      <color rgb="FF000000"/>
      <name val="Arial"/>
      <charset val="1"/>
    </font>
    <font>
      <sz val="10"/>
      <color rgb="FF008000"/>
      <name val="Arial"/>
      <charset val="1"/>
    </font>
    <font>
      <b/>
      <sz val="10"/>
      <color rgb="FF2F3772"/>
      <name val="Arial"/>
      <charset val="1"/>
    </font>
    <font>
      <b/>
      <sz val="12"/>
      <color rgb="FFFFFFFF"/>
      <name val="Arial"/>
      <charset val="1"/>
    </font>
    <font>
      <i/>
      <sz val="10"/>
      <name val="Arial"/>
      <charset val="1"/>
    </font>
    <font>
      <b/>
      <sz val="11"/>
      <color rgb="FF1F2552"/>
      <name val="Arial"/>
      <charset val="1"/>
    </font>
    <font>
      <b/>
      <sz val="11"/>
      <color rgb="FFBE2E32"/>
      <name val="Arial"/>
      <charset val="1"/>
    </font>
  </fonts>
  <fills count="9">
    <fill>
      <patternFill patternType="none"/>
    </fill>
    <fill>
      <patternFill patternType="gray125"/>
    </fill>
    <fill>
      <patternFill patternType="solid">
        <fgColor rgb="FF1F2552"/>
        <bgColor rgb="FF2F3772"/>
      </patternFill>
    </fill>
    <fill>
      <patternFill patternType="solid">
        <fgColor rgb="FFBE2E32"/>
        <bgColor rgb="FF993366"/>
      </patternFill>
    </fill>
    <fill>
      <patternFill patternType="solid">
        <fgColor rgb="FFC9A961"/>
        <bgColor rgb="FFFFCC99"/>
      </patternFill>
    </fill>
    <fill>
      <patternFill patternType="solid">
        <fgColor rgb="FF2F3772"/>
        <bgColor rgb="FF1F2552"/>
      </patternFill>
    </fill>
    <fill>
      <patternFill patternType="solid">
        <fgColor rgb="FFFFFFE0"/>
        <bgColor rgb="FFFFFFFF"/>
      </patternFill>
    </fill>
    <fill>
      <patternFill patternType="solid">
        <fgColor rgb="FFF2EEE3"/>
        <bgColor rgb="FFFCEEEE"/>
      </patternFill>
    </fill>
    <fill>
      <patternFill patternType="solid">
        <fgColor rgb="FFFCEEEE"/>
        <bgColor rgb="FFF2EEE3"/>
      </patternFill>
    </fill>
  </fills>
  <borders count="10">
    <border>
      <left/>
      <right/>
      <top/>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style="medium">
        <color rgb="FFC9A961"/>
      </top>
      <bottom style="medium">
        <color rgb="FFC9A961"/>
      </bottom>
      <diagonal/>
    </border>
    <border>
      <left style="thin">
        <color rgb="FF888888"/>
      </left>
      <right/>
      <top style="medium">
        <color rgb="FFC9A961"/>
      </top>
      <bottom style="medium">
        <color rgb="FFC9A961"/>
      </bottom>
      <diagonal/>
    </border>
    <border>
      <left style="thin">
        <color rgb="FFCCCCCC"/>
      </left>
      <right/>
      <top style="thin">
        <color rgb="FFCCCCCC"/>
      </top>
      <bottom style="thin">
        <color rgb="FFCCCCCC"/>
      </bottom>
      <diagonal/>
    </border>
    <border>
      <left style="medium">
        <color rgb="FFBE2E32"/>
      </left>
      <right/>
      <top style="thin">
        <color rgb="FFCCCCCC"/>
      </top>
      <bottom/>
      <diagonal/>
    </border>
    <border>
      <left style="thin">
        <color rgb="FF888888"/>
      </left>
      <right style="thin">
        <color rgb="FF888888"/>
      </right>
      <top style="thin">
        <color rgb="FF888888"/>
      </top>
      <bottom/>
      <diagonal/>
    </border>
    <border>
      <left style="thin">
        <color rgb="FF888888"/>
      </left>
      <right/>
      <top style="thin">
        <color rgb="FF888888"/>
      </top>
      <bottom style="thin">
        <color rgb="FF888888"/>
      </bottom>
      <diagonal/>
    </border>
    <border>
      <left style="medium">
        <color rgb="FFBE2E32"/>
      </left>
      <right style="thin">
        <color rgb="FFCCCCCC"/>
      </right>
      <top style="thin">
        <color rgb="FFCCCCCC"/>
      </top>
      <bottom style="thin">
        <color rgb="FFCCCCCC"/>
      </bottom>
      <diagonal/>
    </border>
  </borders>
  <cellStyleXfs count="1">
    <xf numFmtId="0" fontId="0" fillId="0" borderId="0"/>
  </cellStyleXfs>
  <cellXfs count="66">
    <xf numFmtId="0" fontId="0" fillId="0" borderId="0" xfId="0"/>
    <xf numFmtId="0" fontId="14" fillId="7" borderId="0" xfId="0" applyFont="1" applyFill="1"/>
    <xf numFmtId="0" fontId="13" fillId="0" borderId="0" xfId="0" applyFont="1" applyAlignment="1">
      <alignment horizontal="left" vertical="center" wrapText="1"/>
    </xf>
    <xf numFmtId="0" fontId="7" fillId="0" borderId="2" xfId="0" applyFont="1" applyBorder="1" applyAlignment="1">
      <alignment horizontal="left" vertical="center" wrapText="1"/>
    </xf>
    <xf numFmtId="0" fontId="6" fillId="0" borderId="0" xfId="0" applyFont="1" applyAlignment="1">
      <alignment horizontal="center" vertical="center"/>
    </xf>
    <xf numFmtId="0" fontId="10" fillId="0" borderId="2" xfId="0" applyFont="1" applyBorder="1" applyAlignment="1">
      <alignment horizontal="left" vertical="center" wrapText="1"/>
    </xf>
    <xf numFmtId="0" fontId="9" fillId="5" borderId="1" xfId="0" applyFont="1" applyFill="1" applyBorder="1" applyAlignment="1">
      <alignment horizontal="center" vertical="center" wrapText="1"/>
    </xf>
    <xf numFmtId="0" fontId="8" fillId="3" borderId="0" xfId="0" applyFont="1" applyFill="1" applyAlignment="1">
      <alignment horizontal="left" vertical="center" indent="1"/>
    </xf>
    <xf numFmtId="0" fontId="7" fillId="0" borderId="0" xfId="0" applyFont="1"/>
    <xf numFmtId="0" fontId="0" fillId="4" borderId="0" xfId="0" applyFill="1"/>
    <xf numFmtId="0" fontId="5"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6" fillId="0" borderId="0" xfId="0" applyFont="1"/>
    <xf numFmtId="0" fontId="9" fillId="5" borderId="1" xfId="0" applyFont="1" applyFill="1" applyBorder="1" applyAlignment="1">
      <alignment horizontal="center" vertical="center" wrapText="1"/>
    </xf>
    <xf numFmtId="0" fontId="10" fillId="0" borderId="2" xfId="0" applyFont="1" applyBorder="1" applyAlignment="1">
      <alignment horizontal="left" vertical="center" wrapText="1"/>
    </xf>
    <xf numFmtId="0" fontId="7" fillId="0" borderId="2" xfId="0" applyFont="1" applyBorder="1" applyAlignment="1">
      <alignment horizontal="left" vertical="center" wrapText="1"/>
    </xf>
    <xf numFmtId="0" fontId="11" fillId="0" borderId="2" xfId="0" applyFont="1" applyBorder="1" applyAlignment="1">
      <alignment horizontal="left" vertical="center" wrapText="1"/>
    </xf>
    <xf numFmtId="0" fontId="12" fillId="0" borderId="2" xfId="0" applyFont="1" applyBorder="1" applyAlignment="1">
      <alignment horizontal="left" vertical="center" wrapText="1"/>
    </xf>
    <xf numFmtId="0" fontId="10" fillId="6" borderId="2" xfId="0" applyFont="1" applyFill="1" applyBorder="1" applyAlignment="1">
      <alignment horizontal="left" vertical="center" wrapText="1"/>
    </xf>
    <xf numFmtId="164" fontId="15" fillId="6" borderId="2" xfId="0" applyNumberFormat="1" applyFont="1" applyFill="1" applyBorder="1" applyAlignment="1">
      <alignment horizontal="right" vertical="center"/>
    </xf>
    <xf numFmtId="165" fontId="15" fillId="6" borderId="2" xfId="0" applyNumberFormat="1" applyFont="1" applyFill="1" applyBorder="1" applyAlignment="1">
      <alignment horizontal="right" vertical="center"/>
    </xf>
    <xf numFmtId="10" fontId="15" fillId="6" borderId="2" xfId="0" applyNumberFormat="1" applyFont="1" applyFill="1" applyBorder="1" applyAlignment="1">
      <alignment horizontal="right" vertical="center"/>
    </xf>
    <xf numFmtId="0" fontId="9" fillId="2" borderId="3" xfId="0" applyFont="1" applyFill="1" applyBorder="1" applyAlignment="1">
      <alignment horizontal="left" vertical="center"/>
    </xf>
    <xf numFmtId="165" fontId="9" fillId="2" borderId="3" xfId="0" applyNumberFormat="1" applyFont="1" applyFill="1" applyBorder="1" applyAlignment="1">
      <alignment horizontal="right" vertical="center"/>
    </xf>
    <xf numFmtId="0" fontId="9" fillId="3" borderId="1" xfId="0" applyFont="1" applyFill="1" applyBorder="1" applyAlignment="1">
      <alignment horizontal="center" vertical="center" wrapText="1"/>
    </xf>
    <xf numFmtId="165" fontId="16" fillId="0" borderId="2" xfId="0" applyNumberFormat="1" applyFont="1" applyBorder="1" applyAlignment="1">
      <alignment horizontal="right" vertical="center"/>
    </xf>
    <xf numFmtId="166" fontId="17" fillId="0" borderId="2" xfId="0" applyNumberFormat="1" applyFont="1" applyBorder="1" applyAlignment="1">
      <alignment horizontal="center" vertical="center"/>
    </xf>
    <xf numFmtId="165" fontId="17" fillId="0" borderId="2" xfId="0" applyNumberFormat="1" applyFont="1" applyBorder="1" applyAlignment="1">
      <alignment horizontal="right" vertical="center"/>
    </xf>
    <xf numFmtId="165" fontId="10" fillId="0" borderId="2" xfId="0" applyNumberFormat="1" applyFont="1" applyBorder="1" applyAlignment="1">
      <alignment horizontal="right" vertical="center"/>
    </xf>
    <xf numFmtId="10" fontId="17" fillId="0" borderId="2" xfId="0" applyNumberFormat="1" applyFont="1" applyBorder="1" applyAlignment="1">
      <alignment horizontal="right" vertical="center"/>
    </xf>
    <xf numFmtId="165" fontId="12" fillId="0" borderId="2" xfId="0" applyNumberFormat="1" applyFont="1" applyBorder="1" applyAlignment="1">
      <alignment horizontal="right" vertical="center"/>
    </xf>
    <xf numFmtId="166" fontId="17" fillId="0" borderId="2" xfId="0" applyNumberFormat="1" applyFont="1" applyBorder="1" applyAlignment="1">
      <alignment horizontal="center"/>
    </xf>
    <xf numFmtId="10" fontId="17" fillId="0" borderId="2" xfId="0" applyNumberFormat="1" applyFont="1" applyBorder="1" applyAlignment="1">
      <alignment horizontal="right"/>
    </xf>
    <xf numFmtId="165" fontId="15" fillId="6" borderId="2" xfId="0" applyNumberFormat="1" applyFont="1" applyFill="1" applyBorder="1" applyAlignment="1">
      <alignment horizontal="right"/>
    </xf>
    <xf numFmtId="165" fontId="9" fillId="3" borderId="3" xfId="0" applyNumberFormat="1" applyFont="1" applyFill="1" applyBorder="1" applyAlignment="1">
      <alignment horizontal="right"/>
    </xf>
    <xf numFmtId="0" fontId="18" fillId="0" borderId="2" xfId="0" applyFont="1" applyBorder="1" applyAlignment="1">
      <alignment horizontal="center"/>
    </xf>
    <xf numFmtId="1" fontId="17" fillId="0" borderId="2" xfId="0" applyNumberFormat="1" applyFont="1" applyBorder="1" applyAlignment="1">
      <alignment horizontal="center"/>
    </xf>
    <xf numFmtId="0" fontId="6" fillId="0" borderId="2" xfId="0" applyFont="1" applyBorder="1" applyAlignment="1">
      <alignment horizontal="center"/>
    </xf>
    <xf numFmtId="1" fontId="15" fillId="6" borderId="2" xfId="0" applyNumberFormat="1" applyFont="1" applyFill="1" applyBorder="1" applyAlignment="1">
      <alignment horizontal="center"/>
    </xf>
    <xf numFmtId="165" fontId="19" fillId="2" borderId="3" xfId="0" applyNumberFormat="1" applyFont="1" applyFill="1" applyBorder="1" applyAlignment="1">
      <alignment horizontal="right" vertical="center"/>
    </xf>
    <xf numFmtId="167" fontId="18" fillId="0" borderId="2" xfId="0" applyNumberFormat="1" applyFont="1" applyBorder="1" applyAlignment="1">
      <alignment horizontal="right"/>
    </xf>
    <xf numFmtId="167" fontId="6" fillId="0" borderId="2" xfId="0" applyNumberFormat="1" applyFont="1" applyBorder="1" applyAlignment="1">
      <alignment horizontal="right"/>
    </xf>
    <xf numFmtId="168" fontId="6" fillId="0" borderId="2" xfId="0" applyNumberFormat="1" applyFont="1" applyBorder="1" applyAlignment="1">
      <alignment horizontal="right"/>
    </xf>
    <xf numFmtId="0" fontId="9" fillId="3" borderId="0" xfId="0" applyFont="1" applyFill="1" applyAlignment="1">
      <alignment horizontal="left" vertical="center"/>
    </xf>
    <xf numFmtId="0" fontId="19" fillId="2" borderId="3" xfId="0" applyFont="1" applyFill="1" applyBorder="1" applyAlignment="1">
      <alignment horizontal="left" vertical="center"/>
    </xf>
    <xf numFmtId="0" fontId="22" fillId="8" borderId="9" xfId="0" applyFont="1" applyFill="1" applyBorder="1" applyAlignment="1">
      <alignment horizontal="left" vertical="center"/>
    </xf>
    <xf numFmtId="165" fontId="22" fillId="8" borderId="2" xfId="0" applyNumberFormat="1" applyFont="1" applyFill="1" applyBorder="1" applyAlignment="1">
      <alignment horizontal="right" vertical="center"/>
    </xf>
    <xf numFmtId="167" fontId="15" fillId="6" borderId="2" xfId="0" applyNumberFormat="1" applyFont="1" applyFill="1" applyBorder="1" applyAlignment="1">
      <alignment horizontal="right"/>
    </xf>
    <xf numFmtId="0" fontId="9" fillId="3" borderId="3" xfId="0" applyFont="1" applyFill="1" applyBorder="1" applyAlignment="1">
      <alignment horizontal="left" vertical="center"/>
    </xf>
    <xf numFmtId="169" fontId="9" fillId="3" borderId="3" xfId="0" applyNumberFormat="1" applyFont="1" applyFill="1" applyBorder="1" applyAlignment="1">
      <alignment horizontal="right"/>
    </xf>
    <xf numFmtId="169" fontId="19" fillId="3" borderId="3" xfId="0" applyNumberFormat="1" applyFont="1" applyFill="1" applyBorder="1" applyAlignment="1">
      <alignment horizontal="right"/>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7" fillId="0" borderId="5" xfId="0" applyFont="1" applyBorder="1" applyAlignment="1">
      <alignment horizontal="left" vertical="center" wrapText="1"/>
    </xf>
    <xf numFmtId="0" fontId="18" fillId="0" borderId="5" xfId="0" applyFont="1" applyBorder="1" applyAlignment="1">
      <alignment horizontal="left"/>
    </xf>
    <xf numFmtId="0" fontId="6" fillId="0" borderId="5" xfId="0" applyFont="1" applyBorder="1" applyAlignment="1">
      <alignment horizontal="left"/>
    </xf>
    <xf numFmtId="0" fontId="10" fillId="0" borderId="5" xfId="0" applyFont="1" applyBorder="1" applyAlignment="1">
      <alignment horizontal="left" vertical="center" wrapText="1"/>
    </xf>
    <xf numFmtId="0" fontId="20" fillId="8" borderId="6" xfId="0" applyFont="1" applyFill="1" applyBorder="1" applyAlignment="1">
      <alignment horizontal="left" vertical="top" wrapText="1"/>
    </xf>
    <xf numFmtId="0" fontId="9" fillId="5" borderId="7" xfId="0" applyFont="1" applyFill="1" applyBorder="1" applyAlignment="1">
      <alignment horizontal="center" vertical="center" wrapText="1"/>
    </xf>
    <xf numFmtId="0" fontId="9" fillId="5"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21" fillId="7" borderId="0" xfId="0" applyFont="1" applyFill="1" applyAlignment="1">
      <alignment horizontal="left" vertical="center" indent="1"/>
    </xf>
    <xf numFmtId="0" fontId="10" fillId="0" borderId="0" xfId="0" applyFont="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FFFE0"/>
      <rgbColor rgb="FFFC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F2EEE3"/>
      <rgbColor rgb="FFFFFF99"/>
      <rgbColor rgb="FF99CCFF"/>
      <rgbColor rgb="FFFF99CC"/>
      <rgbColor rgb="FFCC99FF"/>
      <rgbColor rgb="FFFFCC99"/>
      <rgbColor rgb="FF3366FF"/>
      <rgbColor rgb="FF33CCCC"/>
      <rgbColor rgb="FF99CC00"/>
      <rgbColor rgb="FFFFCC00"/>
      <rgbColor rgb="FFFF9900"/>
      <rgbColor rgb="FFFF6600"/>
      <rgbColor rgb="FF666666"/>
      <rgbColor rgb="FFC9A961"/>
      <rgbColor rgb="FF003366"/>
      <rgbColor rgb="FF339966"/>
      <rgbColor rgb="FF003300"/>
      <rgbColor rgb="FF5C5849"/>
      <rgbColor rgb="FFBE2E32"/>
      <rgbColor rgb="FF993366"/>
      <rgbColor rgb="FF2F3772"/>
      <rgbColor rgb="FF1F25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showGridLines="0" topLeftCell="A21" zoomScaleNormal="100" workbookViewId="0">
      <selection sqref="A1:H1"/>
    </sheetView>
  </sheetViews>
  <sheetFormatPr baseColWidth="10" defaultColWidth="8.6640625" defaultRowHeight="14.4" x14ac:dyDescent="0.3"/>
  <cols>
    <col min="1" max="1" width="18" customWidth="1"/>
    <col min="2" max="3" width="12" customWidth="1"/>
    <col min="4" max="4" width="18" customWidth="1"/>
    <col min="5" max="5" width="14" customWidth="1"/>
    <col min="6" max="6" width="22" customWidth="1"/>
    <col min="7" max="7" width="16" customWidth="1"/>
    <col min="8" max="8" width="14" customWidth="1"/>
  </cols>
  <sheetData>
    <row r="1" spans="1:8" ht="27.75" customHeight="1" x14ac:dyDescent="0.3">
      <c r="A1" s="14" t="s">
        <v>0</v>
      </c>
      <c r="B1" s="14"/>
      <c r="C1" s="14"/>
      <c r="D1" s="14"/>
      <c r="E1" s="14"/>
      <c r="F1" s="14"/>
      <c r="G1" s="14"/>
      <c r="H1" s="14"/>
    </row>
    <row r="2" spans="1:8" ht="21.75" customHeight="1" x14ac:dyDescent="0.3">
      <c r="A2" s="13" t="s">
        <v>1</v>
      </c>
      <c r="B2" s="13"/>
      <c r="C2" s="13"/>
      <c r="D2" s="13"/>
      <c r="E2" s="13"/>
      <c r="F2" s="13"/>
      <c r="G2" s="13"/>
      <c r="H2" s="13"/>
    </row>
    <row r="4" spans="1:8" ht="27.75" customHeight="1" x14ac:dyDescent="0.3">
      <c r="A4" s="12" t="s">
        <v>2</v>
      </c>
      <c r="B4" s="12"/>
      <c r="C4" s="12"/>
      <c r="D4" s="12"/>
      <c r="E4" s="12"/>
      <c r="F4" s="12"/>
      <c r="G4" s="12"/>
      <c r="H4" s="12"/>
    </row>
    <row r="5" spans="1:8" ht="27.75" customHeight="1" x14ac:dyDescent="0.3">
      <c r="A5" s="12"/>
      <c r="B5" s="12"/>
      <c r="C5" s="12"/>
      <c r="D5" s="12"/>
      <c r="E5" s="12"/>
      <c r="F5" s="12"/>
      <c r="G5" s="12"/>
      <c r="H5" s="12"/>
    </row>
    <row r="6" spans="1:8" ht="15" customHeight="1" x14ac:dyDescent="0.3">
      <c r="A6" s="11" t="s">
        <v>3</v>
      </c>
      <c r="B6" s="11"/>
      <c r="C6" s="11"/>
      <c r="D6" s="11"/>
      <c r="E6" s="11"/>
      <c r="F6" s="11"/>
      <c r="G6" s="11"/>
      <c r="H6" s="11"/>
    </row>
    <row r="7" spans="1:8" ht="15" customHeight="1" x14ac:dyDescent="0.3">
      <c r="A7" s="11"/>
      <c r="B7" s="11"/>
      <c r="C7" s="11"/>
      <c r="D7" s="11"/>
      <c r="E7" s="11"/>
      <c r="F7" s="11"/>
      <c r="G7" s="11"/>
      <c r="H7" s="11"/>
    </row>
    <row r="8" spans="1:8" ht="15" customHeight="1" x14ac:dyDescent="0.3">
      <c r="A8" s="10" t="s">
        <v>4</v>
      </c>
      <c r="B8" s="10"/>
      <c r="C8" s="10"/>
      <c r="D8" s="10"/>
      <c r="E8" s="10"/>
      <c r="F8" s="10"/>
      <c r="G8" s="10"/>
      <c r="H8" s="10"/>
    </row>
    <row r="9" spans="1:8" ht="15" customHeight="1" x14ac:dyDescent="0.3">
      <c r="A9" s="10"/>
      <c r="B9" s="10"/>
      <c r="C9" s="10"/>
      <c r="D9" s="10"/>
      <c r="E9" s="10"/>
      <c r="F9" s="10"/>
      <c r="G9" s="10"/>
      <c r="H9" s="10"/>
    </row>
    <row r="10" spans="1:8" ht="3.75" customHeight="1" x14ac:dyDescent="0.3">
      <c r="A10" s="9"/>
      <c r="B10" s="9"/>
      <c r="C10" s="9"/>
      <c r="D10" s="9"/>
      <c r="E10" s="9"/>
      <c r="F10" s="9"/>
      <c r="G10" s="9"/>
      <c r="H10" s="9"/>
    </row>
    <row r="12" spans="1:8" ht="15" customHeight="1" x14ac:dyDescent="0.3">
      <c r="A12" s="15" t="s">
        <v>5</v>
      </c>
      <c r="B12" s="8" t="s">
        <v>6</v>
      </c>
      <c r="C12" s="8"/>
      <c r="D12" s="8"/>
    </row>
    <row r="13" spans="1:8" ht="15" customHeight="1" x14ac:dyDescent="0.3">
      <c r="A13" s="15" t="s">
        <v>7</v>
      </c>
      <c r="B13" s="8" t="s">
        <v>8</v>
      </c>
      <c r="C13" s="8"/>
      <c r="D13" s="8"/>
    </row>
    <row r="14" spans="1:8" ht="15" customHeight="1" x14ac:dyDescent="0.3">
      <c r="A14" s="15" t="s">
        <v>9</v>
      </c>
      <c r="B14" s="8" t="s">
        <v>10</v>
      </c>
      <c r="C14" s="8"/>
      <c r="D14" s="8"/>
    </row>
    <row r="15" spans="1:8" ht="15" customHeight="1" x14ac:dyDescent="0.3">
      <c r="A15" s="15" t="s">
        <v>11</v>
      </c>
      <c r="B15" s="8" t="s">
        <v>12</v>
      </c>
      <c r="C15" s="8"/>
      <c r="D15" s="8"/>
    </row>
    <row r="17" spans="1:8" ht="27.75" customHeight="1" x14ac:dyDescent="0.3">
      <c r="A17" s="7" t="s">
        <v>13</v>
      </c>
      <c r="B17" s="7"/>
      <c r="C17" s="7"/>
      <c r="D17" s="7"/>
      <c r="E17" s="7"/>
      <c r="F17" s="7"/>
      <c r="G17" s="7"/>
      <c r="H17" s="7"/>
    </row>
    <row r="19" spans="1:8" ht="15" customHeight="1" x14ac:dyDescent="0.3">
      <c r="A19" s="6" t="s">
        <v>14</v>
      </c>
      <c r="B19" s="6"/>
      <c r="C19" s="6"/>
      <c r="D19" s="6" t="s">
        <v>15</v>
      </c>
      <c r="E19" s="6"/>
      <c r="F19" s="6" t="s">
        <v>16</v>
      </c>
      <c r="G19" s="6"/>
      <c r="H19" s="6"/>
    </row>
    <row r="20" spans="1:8" ht="15" customHeight="1" x14ac:dyDescent="0.3">
      <c r="A20" s="5" t="s">
        <v>17</v>
      </c>
      <c r="B20" s="5"/>
      <c r="C20" s="5"/>
      <c r="D20" s="4">
        <v>33</v>
      </c>
      <c r="E20" s="4"/>
      <c r="F20" s="3" t="s">
        <v>18</v>
      </c>
      <c r="G20" s="3"/>
      <c r="H20" s="3"/>
    </row>
    <row r="21" spans="1:8" ht="15" customHeight="1" x14ac:dyDescent="0.3">
      <c r="A21" s="5" t="s">
        <v>19</v>
      </c>
      <c r="B21" s="5"/>
      <c r="C21" s="5"/>
      <c r="D21" s="4" t="s">
        <v>20</v>
      </c>
      <c r="E21" s="4"/>
      <c r="F21" s="3" t="s">
        <v>21</v>
      </c>
      <c r="G21" s="3"/>
      <c r="H21" s="3"/>
    </row>
    <row r="22" spans="1:8" ht="15" customHeight="1" x14ac:dyDescent="0.3">
      <c r="A22" s="5" t="s">
        <v>22</v>
      </c>
      <c r="B22" s="5"/>
      <c r="C22" s="5"/>
      <c r="D22" s="4" t="s">
        <v>23</v>
      </c>
      <c r="E22" s="4"/>
      <c r="F22" s="3" t="s">
        <v>24</v>
      </c>
      <c r="G22" s="3"/>
      <c r="H22" s="3"/>
    </row>
    <row r="23" spans="1:8" ht="15" customHeight="1" x14ac:dyDescent="0.3">
      <c r="A23" s="5" t="s">
        <v>25</v>
      </c>
      <c r="B23" s="5"/>
      <c r="C23" s="5"/>
      <c r="D23" s="4" t="s">
        <v>26</v>
      </c>
      <c r="E23" s="4"/>
      <c r="F23" s="3" t="s">
        <v>27</v>
      </c>
      <c r="G23" s="3"/>
      <c r="H23" s="3"/>
    </row>
    <row r="24" spans="1:8" ht="15" customHeight="1" x14ac:dyDescent="0.3">
      <c r="A24" s="5" t="s">
        <v>28</v>
      </c>
      <c r="B24" s="5"/>
      <c r="C24" s="5"/>
      <c r="D24" s="4" t="s">
        <v>29</v>
      </c>
      <c r="E24" s="4"/>
      <c r="F24" s="3" t="s">
        <v>30</v>
      </c>
      <c r="G24" s="3"/>
      <c r="H24" s="3"/>
    </row>
    <row r="25" spans="1:8" ht="15" customHeight="1" x14ac:dyDescent="0.3">
      <c r="A25" s="5" t="s">
        <v>31</v>
      </c>
      <c r="B25" s="5"/>
      <c r="C25" s="5"/>
      <c r="D25" s="4" t="s">
        <v>32</v>
      </c>
      <c r="E25" s="4"/>
      <c r="F25" s="3" t="s">
        <v>33</v>
      </c>
      <c r="G25" s="3"/>
      <c r="H25" s="3"/>
    </row>
    <row r="26" spans="1:8" ht="15" customHeight="1" x14ac:dyDescent="0.3">
      <c r="A26" s="5" t="s">
        <v>34</v>
      </c>
      <c r="B26" s="5"/>
      <c r="C26" s="5"/>
      <c r="D26" s="4" t="s">
        <v>35</v>
      </c>
      <c r="E26" s="4"/>
      <c r="F26" s="3" t="s">
        <v>36</v>
      </c>
      <c r="G26" s="3"/>
      <c r="H26" s="3"/>
    </row>
    <row r="27" spans="1:8" ht="15" customHeight="1" x14ac:dyDescent="0.3">
      <c r="A27" s="5" t="s">
        <v>37</v>
      </c>
      <c r="B27" s="5"/>
      <c r="C27" s="5"/>
      <c r="D27" s="4" t="s">
        <v>38</v>
      </c>
      <c r="E27" s="4"/>
      <c r="F27" s="3" t="s">
        <v>39</v>
      </c>
      <c r="G27" s="3"/>
      <c r="H27" s="3"/>
    </row>
    <row r="28" spans="1:8" ht="15" customHeight="1" x14ac:dyDescent="0.3">
      <c r="A28" s="5" t="s">
        <v>40</v>
      </c>
      <c r="B28" s="5"/>
      <c r="C28" s="5"/>
      <c r="D28" s="4" t="s">
        <v>41</v>
      </c>
      <c r="E28" s="4"/>
      <c r="F28" s="3" t="s">
        <v>42</v>
      </c>
      <c r="G28" s="3"/>
      <c r="H28" s="3"/>
    </row>
    <row r="29" spans="1:8" ht="15" customHeight="1" x14ac:dyDescent="0.3">
      <c r="A29" s="5" t="s">
        <v>43</v>
      </c>
      <c r="B29" s="5"/>
      <c r="C29" s="5"/>
      <c r="D29" s="4" t="s">
        <v>44</v>
      </c>
      <c r="E29" s="4"/>
      <c r="F29" s="3" t="s">
        <v>45</v>
      </c>
      <c r="G29" s="3"/>
      <c r="H29" s="3"/>
    </row>
    <row r="30" spans="1:8" ht="15" customHeight="1" x14ac:dyDescent="0.3">
      <c r="A30" s="5" t="s">
        <v>46</v>
      </c>
      <c r="B30" s="5"/>
      <c r="C30" s="5"/>
      <c r="D30" s="4" t="s">
        <v>47</v>
      </c>
      <c r="E30" s="4"/>
      <c r="F30" s="3" t="s">
        <v>48</v>
      </c>
      <c r="G30" s="3"/>
      <c r="H30" s="3"/>
    </row>
    <row r="33" spans="1:8" ht="24" customHeight="1" x14ac:dyDescent="0.3">
      <c r="A33" s="7" t="s">
        <v>49</v>
      </c>
      <c r="B33" s="7"/>
      <c r="C33" s="7"/>
      <c r="D33" s="7"/>
      <c r="E33" s="7"/>
      <c r="F33" s="7"/>
      <c r="G33" s="7"/>
      <c r="H33" s="7"/>
    </row>
    <row r="34" spans="1:8" ht="15" customHeight="1" x14ac:dyDescent="0.3">
      <c r="A34" s="19" t="s">
        <v>50</v>
      </c>
      <c r="B34" s="3" t="s">
        <v>51</v>
      </c>
      <c r="C34" s="3"/>
      <c r="D34" s="3"/>
      <c r="E34" s="3"/>
      <c r="F34" s="3"/>
      <c r="G34" s="3"/>
      <c r="H34" s="3"/>
    </row>
    <row r="35" spans="1:8" ht="15" customHeight="1" x14ac:dyDescent="0.3">
      <c r="A35" s="17" t="s">
        <v>52</v>
      </c>
      <c r="B35" s="3" t="s">
        <v>53</v>
      </c>
      <c r="C35" s="3"/>
      <c r="D35" s="3"/>
      <c r="E35" s="3"/>
      <c r="F35" s="3"/>
      <c r="G35" s="3"/>
      <c r="H35" s="3"/>
    </row>
    <row r="36" spans="1:8" ht="15" customHeight="1" x14ac:dyDescent="0.3">
      <c r="A36" s="20" t="s">
        <v>54</v>
      </c>
      <c r="B36" s="3" t="s">
        <v>55</v>
      </c>
      <c r="C36" s="3"/>
      <c r="D36" s="3"/>
      <c r="E36" s="3"/>
      <c r="F36" s="3"/>
      <c r="G36" s="3"/>
      <c r="H36" s="3"/>
    </row>
    <row r="37" spans="1:8" ht="23.25" customHeight="1" x14ac:dyDescent="0.3">
      <c r="A37" s="21" t="s">
        <v>56</v>
      </c>
      <c r="B37" s="3" t="s">
        <v>57</v>
      </c>
      <c r="C37" s="3"/>
      <c r="D37" s="3"/>
      <c r="E37" s="3"/>
      <c r="F37" s="3"/>
      <c r="G37" s="3"/>
      <c r="H37" s="3"/>
    </row>
  </sheetData>
  <mergeCells count="52">
    <mergeCell ref="A33:H33"/>
    <mergeCell ref="B34:H34"/>
    <mergeCell ref="B35:H35"/>
    <mergeCell ref="B36:H36"/>
    <mergeCell ref="B37:H37"/>
    <mergeCell ref="A29:C29"/>
    <mergeCell ref="D29:E29"/>
    <mergeCell ref="F29:H29"/>
    <mergeCell ref="A30:C30"/>
    <mergeCell ref="D30:E30"/>
    <mergeCell ref="F30:H30"/>
    <mergeCell ref="A27:C27"/>
    <mergeCell ref="D27:E27"/>
    <mergeCell ref="F27:H27"/>
    <mergeCell ref="A28:C28"/>
    <mergeCell ref="D28:E28"/>
    <mergeCell ref="F28:H28"/>
    <mergeCell ref="A25:C25"/>
    <mergeCell ref="D25:E25"/>
    <mergeCell ref="F25:H25"/>
    <mergeCell ref="A26:C26"/>
    <mergeCell ref="D26:E26"/>
    <mergeCell ref="F26:H26"/>
    <mergeCell ref="A23:C23"/>
    <mergeCell ref="D23:E23"/>
    <mergeCell ref="F23:H23"/>
    <mergeCell ref="A24:C24"/>
    <mergeCell ref="D24:E24"/>
    <mergeCell ref="F24:H24"/>
    <mergeCell ref="A21:C21"/>
    <mergeCell ref="D21:E21"/>
    <mergeCell ref="F21:H21"/>
    <mergeCell ref="A22:C22"/>
    <mergeCell ref="D22:E22"/>
    <mergeCell ref="F22:H22"/>
    <mergeCell ref="A17:H17"/>
    <mergeCell ref="A19:C19"/>
    <mergeCell ref="D19:E19"/>
    <mergeCell ref="F19:H19"/>
    <mergeCell ref="A20:C20"/>
    <mergeCell ref="D20:E20"/>
    <mergeCell ref="F20:H20"/>
    <mergeCell ref="A10:H10"/>
    <mergeCell ref="B12:D12"/>
    <mergeCell ref="B13:D13"/>
    <mergeCell ref="B14:D14"/>
    <mergeCell ref="B15:D15"/>
    <mergeCell ref="A1:H1"/>
    <mergeCell ref="A2:H2"/>
    <mergeCell ref="A4:H5"/>
    <mergeCell ref="A6:H7"/>
    <mergeCell ref="A8:H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6"/>
  <sheetViews>
    <sheetView showGridLines="0" topLeftCell="A7" zoomScaleNormal="100" workbookViewId="0">
      <selection sqref="A1:E1"/>
    </sheetView>
  </sheetViews>
  <sheetFormatPr baseColWidth="10" defaultColWidth="8.6640625" defaultRowHeight="14.4" x14ac:dyDescent="0.3"/>
  <cols>
    <col min="1" max="1" width="42" customWidth="1"/>
    <col min="2" max="2" width="16" customWidth="1"/>
    <col min="3" max="3" width="14" customWidth="1"/>
    <col min="4" max="5" width="22" customWidth="1"/>
  </cols>
  <sheetData>
    <row r="1" spans="1:5" ht="27.75" customHeight="1" x14ac:dyDescent="0.3">
      <c r="A1" s="7" t="s">
        <v>58</v>
      </c>
      <c r="B1" s="7"/>
      <c r="C1" s="7"/>
      <c r="D1" s="7"/>
      <c r="E1" s="7"/>
    </row>
    <row r="2" spans="1:5" ht="19.5" customHeight="1" x14ac:dyDescent="0.3">
      <c r="A2" s="2" t="s">
        <v>59</v>
      </c>
      <c r="B2" s="2"/>
      <c r="C2" s="2"/>
      <c r="D2" s="2"/>
      <c r="E2" s="2"/>
    </row>
    <row r="4" spans="1:5" ht="21.75" customHeight="1" x14ac:dyDescent="0.3">
      <c r="A4" s="1" t="s">
        <v>60</v>
      </c>
      <c r="B4" s="1"/>
      <c r="C4" s="1"/>
      <c r="D4" s="1"/>
      <c r="E4" s="1"/>
    </row>
    <row r="5" spans="1:5" ht="15" customHeight="1" x14ac:dyDescent="0.3">
      <c r="A5" s="16" t="s">
        <v>61</v>
      </c>
      <c r="B5" s="16" t="s">
        <v>15</v>
      </c>
      <c r="C5" s="16" t="s">
        <v>62</v>
      </c>
      <c r="D5" s="16" t="s">
        <v>63</v>
      </c>
    </row>
    <row r="6" spans="1:5" ht="15" customHeight="1" x14ac:dyDescent="0.3">
      <c r="A6" s="18" t="s">
        <v>64</v>
      </c>
      <c r="B6" s="22">
        <v>33</v>
      </c>
      <c r="C6" s="18" t="s">
        <v>65</v>
      </c>
      <c r="D6" s="3" t="s">
        <v>66</v>
      </c>
      <c r="E6" s="3"/>
    </row>
    <row r="7" spans="1:5" ht="15" customHeight="1" x14ac:dyDescent="0.3">
      <c r="A7" s="18" t="s">
        <v>67</v>
      </c>
      <c r="B7" s="22">
        <v>4</v>
      </c>
      <c r="C7" s="18" t="s">
        <v>68</v>
      </c>
      <c r="D7" s="3" t="s">
        <v>69</v>
      </c>
      <c r="E7" s="3"/>
    </row>
    <row r="8" spans="1:5" ht="15" customHeight="1" x14ac:dyDescent="0.3">
      <c r="A8" s="18" t="s">
        <v>70</v>
      </c>
      <c r="B8" s="22">
        <v>2073965</v>
      </c>
      <c r="C8" s="18" t="s">
        <v>71</v>
      </c>
      <c r="D8" s="3" t="s">
        <v>72</v>
      </c>
      <c r="E8" s="3"/>
    </row>
    <row r="9" spans="1:5" ht="15" customHeight="1" x14ac:dyDescent="0.3">
      <c r="A9" s="18" t="s">
        <v>73</v>
      </c>
      <c r="B9" s="22">
        <v>24</v>
      </c>
      <c r="C9" s="18" t="s">
        <v>74</v>
      </c>
      <c r="D9" s="3" t="s">
        <v>75</v>
      </c>
      <c r="E9" s="3"/>
    </row>
    <row r="10" spans="1:5" ht="15" customHeight="1" x14ac:dyDescent="0.3">
      <c r="A10" s="18" t="s">
        <v>76</v>
      </c>
      <c r="B10" s="22">
        <v>365</v>
      </c>
      <c r="C10" s="18" t="s">
        <v>77</v>
      </c>
      <c r="D10" s="3" t="s">
        <v>78</v>
      </c>
      <c r="E10" s="3"/>
    </row>
    <row r="11" spans="1:5" ht="15" customHeight="1" x14ac:dyDescent="0.3">
      <c r="A11" s="18" t="s">
        <v>79</v>
      </c>
      <c r="B11" s="22">
        <v>2</v>
      </c>
      <c r="C11" s="18" t="s">
        <v>80</v>
      </c>
      <c r="D11" s="3" t="s">
        <v>81</v>
      </c>
      <c r="E11" s="3"/>
    </row>
    <row r="12" spans="1:5" ht="15" customHeight="1" x14ac:dyDescent="0.3">
      <c r="A12" s="18" t="s">
        <v>82</v>
      </c>
      <c r="B12" s="22">
        <v>1.5</v>
      </c>
      <c r="C12" s="18" t="s">
        <v>83</v>
      </c>
      <c r="D12" s="3" t="s">
        <v>84</v>
      </c>
      <c r="E12" s="3"/>
    </row>
    <row r="13" spans="1:5" ht="15" customHeight="1" x14ac:dyDescent="0.3">
      <c r="A13" s="18" t="s">
        <v>85</v>
      </c>
      <c r="B13" s="22">
        <v>2</v>
      </c>
      <c r="C13" s="18" t="s">
        <v>86</v>
      </c>
      <c r="D13" s="3" t="s">
        <v>87</v>
      </c>
      <c r="E13" s="3"/>
    </row>
    <row r="15" spans="1:5" ht="21.75" customHeight="1" x14ac:dyDescent="0.3">
      <c r="A15" s="1" t="s">
        <v>88</v>
      </c>
      <c r="B15" s="1"/>
      <c r="C15" s="1"/>
      <c r="D15" s="1"/>
      <c r="E15" s="1"/>
    </row>
    <row r="16" spans="1:5" ht="15" customHeight="1" x14ac:dyDescent="0.3">
      <c r="A16" s="16" t="s">
        <v>61</v>
      </c>
      <c r="B16" s="16" t="s">
        <v>15</v>
      </c>
      <c r="C16" s="16" t="s">
        <v>62</v>
      </c>
      <c r="D16" s="16" t="s">
        <v>63</v>
      </c>
    </row>
    <row r="17" spans="1:5" ht="15" customHeight="1" x14ac:dyDescent="0.3">
      <c r="A17" s="18" t="s">
        <v>89</v>
      </c>
      <c r="B17" s="23">
        <v>1800</v>
      </c>
      <c r="C17" s="18" t="s">
        <v>90</v>
      </c>
      <c r="D17" s="3" t="s">
        <v>91</v>
      </c>
      <c r="E17" s="3"/>
    </row>
    <row r="18" spans="1:5" ht="15" customHeight="1" x14ac:dyDescent="0.3">
      <c r="A18" s="18" t="s">
        <v>92</v>
      </c>
      <c r="B18" s="23">
        <v>3500</v>
      </c>
      <c r="C18" s="18" t="s">
        <v>90</v>
      </c>
      <c r="D18" s="3" t="s">
        <v>91</v>
      </c>
      <c r="E18" s="3"/>
    </row>
    <row r="19" spans="1:5" ht="15" customHeight="1" x14ac:dyDescent="0.3">
      <c r="A19" s="18" t="s">
        <v>93</v>
      </c>
      <c r="B19" s="23">
        <v>2500</v>
      </c>
      <c r="C19" s="18" t="s">
        <v>90</v>
      </c>
      <c r="D19" s="3" t="s">
        <v>91</v>
      </c>
      <c r="E19" s="3"/>
    </row>
    <row r="20" spans="1:5" ht="15" customHeight="1" x14ac:dyDescent="0.3">
      <c r="A20" s="18" t="s">
        <v>94</v>
      </c>
      <c r="B20" s="24">
        <v>0.15</v>
      </c>
      <c r="C20" s="18" t="s">
        <v>95</v>
      </c>
      <c r="D20" s="3" t="s">
        <v>96</v>
      </c>
      <c r="E20" s="3"/>
    </row>
    <row r="21" spans="1:5" ht="15" customHeight="1" x14ac:dyDescent="0.3">
      <c r="A21" s="18" t="s">
        <v>97</v>
      </c>
      <c r="B21" s="24">
        <v>1.55E-2</v>
      </c>
      <c r="C21" s="18" t="s">
        <v>95</v>
      </c>
      <c r="D21" s="3" t="s">
        <v>98</v>
      </c>
      <c r="E21" s="3"/>
    </row>
    <row r="22" spans="1:5" ht="15" customHeight="1" x14ac:dyDescent="0.3">
      <c r="A22" s="18" t="s">
        <v>99</v>
      </c>
      <c r="B22" s="24">
        <v>1.2999999999999999E-2</v>
      </c>
      <c r="C22" s="18" t="s">
        <v>95</v>
      </c>
      <c r="D22" s="3" t="s">
        <v>100</v>
      </c>
      <c r="E22" s="3"/>
    </row>
    <row r="23" spans="1:5" ht="15" customHeight="1" x14ac:dyDescent="0.3">
      <c r="A23" s="18" t="s">
        <v>101</v>
      </c>
      <c r="B23" s="23">
        <v>250</v>
      </c>
      <c r="C23" s="18" t="s">
        <v>90</v>
      </c>
      <c r="D23" s="3" t="s">
        <v>102</v>
      </c>
      <c r="E23" s="3"/>
    </row>
    <row r="24" spans="1:5" ht="21.75" customHeight="1" x14ac:dyDescent="0.3">
      <c r="A24" s="1" t="s">
        <v>103</v>
      </c>
      <c r="B24" s="1"/>
      <c r="C24" s="1"/>
      <c r="D24" s="1"/>
      <c r="E24" s="1"/>
    </row>
    <row r="25" spans="1:5" ht="15" customHeight="1" x14ac:dyDescent="0.3">
      <c r="A25" s="16" t="s">
        <v>61</v>
      </c>
      <c r="B25" s="16" t="s">
        <v>15</v>
      </c>
      <c r="C25" s="16" t="s">
        <v>62</v>
      </c>
      <c r="D25" s="16" t="s">
        <v>63</v>
      </c>
    </row>
    <row r="26" spans="1:5" ht="15" customHeight="1" x14ac:dyDescent="0.3">
      <c r="A26" s="18" t="s">
        <v>104</v>
      </c>
      <c r="B26" s="23">
        <v>24000</v>
      </c>
      <c r="C26" s="18" t="s">
        <v>105</v>
      </c>
      <c r="D26" s="3" t="s">
        <v>106</v>
      </c>
      <c r="E26" s="3"/>
    </row>
    <row r="27" spans="1:5" ht="15" customHeight="1" x14ac:dyDescent="0.3">
      <c r="A27" s="18" t="s">
        <v>107</v>
      </c>
      <c r="B27" s="23">
        <v>1200</v>
      </c>
      <c r="C27" s="18" t="s">
        <v>105</v>
      </c>
      <c r="D27" s="3" t="s">
        <v>108</v>
      </c>
      <c r="E27" s="3"/>
    </row>
    <row r="28" spans="1:5" ht="15" customHeight="1" x14ac:dyDescent="0.3">
      <c r="A28" s="18" t="s">
        <v>109</v>
      </c>
      <c r="B28" s="23">
        <v>2800</v>
      </c>
      <c r="C28" s="18" t="s">
        <v>105</v>
      </c>
      <c r="D28" s="3" t="s">
        <v>110</v>
      </c>
      <c r="E28" s="3"/>
    </row>
    <row r="29" spans="1:5" ht="15" customHeight="1" x14ac:dyDescent="0.3">
      <c r="A29" s="18" t="s">
        <v>111</v>
      </c>
      <c r="B29" s="23">
        <v>2200</v>
      </c>
      <c r="C29" s="18" t="s">
        <v>105</v>
      </c>
      <c r="D29" s="3" t="s">
        <v>112</v>
      </c>
      <c r="E29" s="3"/>
    </row>
    <row r="30" spans="1:5" ht="15" customHeight="1" x14ac:dyDescent="0.3">
      <c r="A30" s="18" t="s">
        <v>113</v>
      </c>
      <c r="B30" s="23">
        <v>1500</v>
      </c>
      <c r="C30" s="18" t="s">
        <v>105</v>
      </c>
      <c r="D30" s="3" t="s">
        <v>114</v>
      </c>
      <c r="E30" s="3"/>
    </row>
    <row r="31" spans="1:5" ht="15" customHeight="1" x14ac:dyDescent="0.3">
      <c r="A31" s="18" t="s">
        <v>115</v>
      </c>
      <c r="B31" s="23">
        <v>1300</v>
      </c>
      <c r="C31" s="18" t="s">
        <v>105</v>
      </c>
      <c r="D31" s="3" t="s">
        <v>116</v>
      </c>
      <c r="E31" s="3"/>
    </row>
    <row r="32" spans="1:5" ht="15" customHeight="1" x14ac:dyDescent="0.3">
      <c r="A32" s="18" t="s">
        <v>117</v>
      </c>
      <c r="B32" s="23">
        <v>600</v>
      </c>
      <c r="C32" s="18" t="s">
        <v>105</v>
      </c>
      <c r="D32" s="3" t="s">
        <v>118</v>
      </c>
      <c r="E32" s="3"/>
    </row>
    <row r="33" spans="1:5" ht="15" customHeight="1" x14ac:dyDescent="0.3">
      <c r="A33" s="18" t="s">
        <v>119</v>
      </c>
      <c r="B33" s="23">
        <v>700</v>
      </c>
      <c r="C33" s="18" t="s">
        <v>105</v>
      </c>
      <c r="D33" s="3" t="s">
        <v>120</v>
      </c>
      <c r="E33" s="3"/>
    </row>
    <row r="34" spans="1:5" ht="15" customHeight="1" x14ac:dyDescent="0.3">
      <c r="A34" s="18" t="s">
        <v>121</v>
      </c>
      <c r="B34" s="23">
        <v>500</v>
      </c>
      <c r="C34" s="18" t="s">
        <v>105</v>
      </c>
      <c r="D34" s="3" t="s">
        <v>122</v>
      </c>
      <c r="E34" s="3"/>
    </row>
    <row r="35" spans="1:5" ht="15" customHeight="1" x14ac:dyDescent="0.3">
      <c r="A35" s="18" t="s">
        <v>123</v>
      </c>
      <c r="B35" s="23">
        <v>800</v>
      </c>
      <c r="C35" s="18" t="s">
        <v>105</v>
      </c>
      <c r="D35" s="3" t="s">
        <v>124</v>
      </c>
      <c r="E35" s="3"/>
    </row>
    <row r="36" spans="1:5" ht="15" customHeight="1" x14ac:dyDescent="0.3">
      <c r="A36" s="25" t="s">
        <v>125</v>
      </c>
      <c r="B36" s="26">
        <f>SUM(B26:B35)</f>
        <v>35600</v>
      </c>
      <c r="C36" s="25" t="s">
        <v>105</v>
      </c>
      <c r="D36" s="54" t="s">
        <v>126</v>
      </c>
      <c r="E36" s="54"/>
    </row>
    <row r="38" spans="1:5" ht="21.75" customHeight="1" x14ac:dyDescent="0.3">
      <c r="A38" s="1" t="s">
        <v>127</v>
      </c>
      <c r="B38" s="1"/>
      <c r="C38" s="1"/>
      <c r="D38" s="1"/>
      <c r="E38" s="1"/>
    </row>
    <row r="39" spans="1:5" ht="15" customHeight="1" x14ac:dyDescent="0.3">
      <c r="A39" s="27" t="s">
        <v>61</v>
      </c>
      <c r="B39" s="27" t="s">
        <v>15</v>
      </c>
      <c r="C39" s="27" t="s">
        <v>62</v>
      </c>
      <c r="D39" s="27" t="s">
        <v>63</v>
      </c>
    </row>
    <row r="40" spans="1:5" ht="15" customHeight="1" x14ac:dyDescent="0.3">
      <c r="A40" s="18" t="s">
        <v>128</v>
      </c>
      <c r="B40" s="23">
        <v>6500</v>
      </c>
      <c r="C40" s="18" t="s">
        <v>105</v>
      </c>
      <c r="D40" s="3" t="s">
        <v>129</v>
      </c>
      <c r="E40" s="3"/>
    </row>
    <row r="41" spans="1:5" ht="15" customHeight="1" x14ac:dyDescent="0.3">
      <c r="A41" s="18" t="s">
        <v>130</v>
      </c>
      <c r="B41" s="23">
        <v>850</v>
      </c>
      <c r="C41" s="18" t="s">
        <v>105</v>
      </c>
      <c r="D41" s="3" t="s">
        <v>131</v>
      </c>
      <c r="E41" s="3"/>
    </row>
    <row r="42" spans="1:5" ht="15" customHeight="1" x14ac:dyDescent="0.3">
      <c r="A42" s="18" t="s">
        <v>132</v>
      </c>
      <c r="B42" s="23">
        <v>1800</v>
      </c>
      <c r="C42" s="18" t="s">
        <v>105</v>
      </c>
      <c r="D42" s="3" t="s">
        <v>133</v>
      </c>
      <c r="E42" s="3"/>
    </row>
    <row r="43" spans="1:5" ht="15" customHeight="1" x14ac:dyDescent="0.3">
      <c r="A43" s="18" t="s">
        <v>134</v>
      </c>
      <c r="B43" s="23">
        <v>950</v>
      </c>
      <c r="C43" s="18" t="s">
        <v>105</v>
      </c>
      <c r="D43" s="3" t="s">
        <v>135</v>
      </c>
      <c r="E43" s="3"/>
    </row>
    <row r="44" spans="1:5" ht="15" customHeight="1" x14ac:dyDescent="0.3">
      <c r="A44" s="18" t="s">
        <v>136</v>
      </c>
      <c r="B44" s="23">
        <v>1200</v>
      </c>
      <c r="C44" s="18" t="s">
        <v>105</v>
      </c>
      <c r="D44" s="3" t="s">
        <v>137</v>
      </c>
      <c r="E44" s="3"/>
    </row>
    <row r="45" spans="1:5" ht="15" customHeight="1" x14ac:dyDescent="0.3">
      <c r="A45" s="18" t="s">
        <v>138</v>
      </c>
      <c r="B45" s="23">
        <v>700</v>
      </c>
      <c r="C45" s="18" t="s">
        <v>105</v>
      </c>
      <c r="D45" s="3" t="s">
        <v>139</v>
      </c>
      <c r="E45" s="3"/>
    </row>
    <row r="46" spans="1:5" ht="15" customHeight="1" x14ac:dyDescent="0.3">
      <c r="A46" s="25" t="s">
        <v>140</v>
      </c>
      <c r="B46" s="26">
        <f>SUM(B40:B45)</f>
        <v>12000</v>
      </c>
      <c r="C46" s="25" t="s">
        <v>105</v>
      </c>
      <c r="D46" s="54" t="s">
        <v>126</v>
      </c>
      <c r="E46" s="54"/>
    </row>
    <row r="48" spans="1:5" ht="21.75" customHeight="1" x14ac:dyDescent="0.3">
      <c r="A48" s="1" t="s">
        <v>141</v>
      </c>
      <c r="B48" s="1"/>
      <c r="C48" s="1"/>
      <c r="D48" s="1"/>
      <c r="E48" s="1"/>
    </row>
    <row r="49" spans="1:5" ht="15" customHeight="1" x14ac:dyDescent="0.3">
      <c r="A49" s="27" t="s">
        <v>61</v>
      </c>
      <c r="B49" s="27" t="s">
        <v>15</v>
      </c>
      <c r="C49" s="27" t="s">
        <v>62</v>
      </c>
      <c r="D49" s="27" t="s">
        <v>63</v>
      </c>
    </row>
    <row r="50" spans="1:5" ht="15" customHeight="1" x14ac:dyDescent="0.3">
      <c r="A50" s="18" t="s">
        <v>142</v>
      </c>
      <c r="B50" s="23">
        <v>1200</v>
      </c>
      <c r="C50" s="18" t="s">
        <v>90</v>
      </c>
      <c r="D50" s="3" t="s">
        <v>143</v>
      </c>
      <c r="E50" s="3"/>
    </row>
    <row r="51" spans="1:5" ht="15" customHeight="1" x14ac:dyDescent="0.3">
      <c r="A51" s="18" t="s">
        <v>144</v>
      </c>
      <c r="B51" s="23">
        <v>350</v>
      </c>
      <c r="C51" s="18" t="s">
        <v>90</v>
      </c>
      <c r="D51" s="3" t="s">
        <v>145</v>
      </c>
      <c r="E51" s="3"/>
    </row>
    <row r="52" spans="1:5" ht="15" customHeight="1" x14ac:dyDescent="0.3">
      <c r="A52" s="18" t="s">
        <v>146</v>
      </c>
      <c r="B52" s="23">
        <v>400</v>
      </c>
      <c r="C52" s="18" t="s">
        <v>90</v>
      </c>
      <c r="D52" s="3" t="s">
        <v>147</v>
      </c>
      <c r="E52" s="3"/>
    </row>
    <row r="53" spans="1:5" ht="15" customHeight="1" x14ac:dyDescent="0.3">
      <c r="A53" s="18" t="s">
        <v>148</v>
      </c>
      <c r="B53" s="23">
        <v>50</v>
      </c>
      <c r="C53" s="18" t="s">
        <v>90</v>
      </c>
      <c r="D53" s="3" t="s">
        <v>149</v>
      </c>
      <c r="E53" s="3"/>
    </row>
    <row r="54" spans="1:5" ht="15" customHeight="1" x14ac:dyDescent="0.3">
      <c r="A54" s="18" t="s">
        <v>150</v>
      </c>
      <c r="B54" s="23">
        <v>280</v>
      </c>
      <c r="C54" s="18" t="s">
        <v>90</v>
      </c>
      <c r="D54" s="3" t="s">
        <v>151</v>
      </c>
      <c r="E54" s="3"/>
    </row>
    <row r="55" spans="1:5" ht="15" customHeight="1" x14ac:dyDescent="0.3">
      <c r="A55" s="18" t="s">
        <v>152</v>
      </c>
      <c r="B55" s="23">
        <v>350</v>
      </c>
      <c r="C55" s="18" t="s">
        <v>90</v>
      </c>
      <c r="D55" s="3" t="s">
        <v>153</v>
      </c>
      <c r="E55" s="3"/>
    </row>
    <row r="56" spans="1:5" ht="15" customHeight="1" x14ac:dyDescent="0.3">
      <c r="A56" s="18" t="s">
        <v>154</v>
      </c>
      <c r="B56" s="23">
        <v>120</v>
      </c>
      <c r="C56" s="18" t="s">
        <v>90</v>
      </c>
      <c r="D56" s="3" t="s">
        <v>155</v>
      </c>
      <c r="E56" s="3"/>
    </row>
    <row r="57" spans="1:5" ht="15" customHeight="1" x14ac:dyDescent="0.3">
      <c r="A57" s="18" t="s">
        <v>156</v>
      </c>
      <c r="B57" s="23">
        <v>80</v>
      </c>
      <c r="C57" s="18" t="s">
        <v>90</v>
      </c>
      <c r="D57" s="3" t="s">
        <v>157</v>
      </c>
      <c r="E57" s="3"/>
    </row>
    <row r="58" spans="1:5" ht="15" customHeight="1" x14ac:dyDescent="0.3">
      <c r="A58" s="18" t="s">
        <v>158</v>
      </c>
      <c r="B58" s="23">
        <v>90</v>
      </c>
      <c r="C58" s="18" t="s">
        <v>90</v>
      </c>
      <c r="D58" s="3" t="s">
        <v>159</v>
      </c>
      <c r="E58" s="3"/>
    </row>
    <row r="59" spans="1:5" ht="15" customHeight="1" x14ac:dyDescent="0.3">
      <c r="A59" s="25" t="s">
        <v>160</v>
      </c>
      <c r="B59" s="26">
        <f>SUM(B50:B58)</f>
        <v>2920</v>
      </c>
      <c r="C59" s="25" t="s">
        <v>90</v>
      </c>
      <c r="D59" s="54" t="s">
        <v>126</v>
      </c>
      <c r="E59" s="54"/>
    </row>
    <row r="61" spans="1:5" ht="21.75" customHeight="1" x14ac:dyDescent="0.3">
      <c r="A61" s="1" t="s">
        <v>161</v>
      </c>
      <c r="B61" s="1"/>
      <c r="C61" s="1"/>
      <c r="D61" s="1"/>
      <c r="E61" s="1"/>
    </row>
    <row r="62" spans="1:5" ht="15" customHeight="1" x14ac:dyDescent="0.3">
      <c r="A62" s="27" t="s">
        <v>61</v>
      </c>
      <c r="B62" s="27" t="s">
        <v>15</v>
      </c>
      <c r="C62" s="27" t="s">
        <v>62</v>
      </c>
      <c r="D62" s="27" t="s">
        <v>63</v>
      </c>
    </row>
    <row r="63" spans="1:5" ht="15" customHeight="1" x14ac:dyDescent="0.3">
      <c r="A63" s="18" t="s">
        <v>162</v>
      </c>
      <c r="B63" s="23">
        <v>60000</v>
      </c>
      <c r="C63" s="18" t="s">
        <v>105</v>
      </c>
      <c r="D63" s="3" t="s">
        <v>163</v>
      </c>
      <c r="E63" s="3"/>
    </row>
    <row r="64" spans="1:5" ht="15" customHeight="1" x14ac:dyDescent="0.3">
      <c r="A64" s="18" t="s">
        <v>164</v>
      </c>
      <c r="B64" s="23">
        <v>10000</v>
      </c>
      <c r="C64" s="18" t="s">
        <v>105</v>
      </c>
      <c r="D64" s="3" t="s">
        <v>165</v>
      </c>
      <c r="E64" s="3"/>
    </row>
    <row r="65" spans="1:5" ht="15" customHeight="1" x14ac:dyDescent="0.3">
      <c r="A65" s="25" t="s">
        <v>166</v>
      </c>
      <c r="B65" s="26">
        <f>SUM(B63:B64)</f>
        <v>70000</v>
      </c>
      <c r="C65" s="25" t="s">
        <v>105</v>
      </c>
      <c r="D65" s="54"/>
      <c r="E65" s="54"/>
    </row>
    <row r="67" spans="1:5" ht="21.75" customHeight="1" x14ac:dyDescent="0.3">
      <c r="A67" s="1" t="s">
        <v>167</v>
      </c>
      <c r="B67" s="1"/>
      <c r="C67" s="1"/>
      <c r="D67" s="1"/>
      <c r="E67" s="1"/>
    </row>
    <row r="68" spans="1:5" ht="15" customHeight="1" x14ac:dyDescent="0.3">
      <c r="A68" s="27" t="s">
        <v>61</v>
      </c>
      <c r="B68" s="27" t="s">
        <v>168</v>
      </c>
      <c r="C68" s="27" t="s">
        <v>62</v>
      </c>
      <c r="D68" s="27" t="s">
        <v>63</v>
      </c>
    </row>
    <row r="69" spans="1:5" ht="15" customHeight="1" x14ac:dyDescent="0.3">
      <c r="A69" s="18" t="s">
        <v>169</v>
      </c>
      <c r="B69" s="28">
        <f>'2. Supuestos'!$B$19*2*'2. Supuestos'!$B$12</f>
        <v>7500</v>
      </c>
      <c r="C69" s="18" t="s">
        <v>90</v>
      </c>
      <c r="D69" s="3" t="s">
        <v>170</v>
      </c>
      <c r="E69" s="3"/>
    </row>
    <row r="70" spans="1:5" ht="15" customHeight="1" x14ac:dyDescent="0.3">
      <c r="A70" s="18" t="s">
        <v>171</v>
      </c>
      <c r="B70" s="28">
        <f>B69*'2. Supuestos'!$B$20</f>
        <v>1125</v>
      </c>
      <c r="C70" s="18" t="s">
        <v>90</v>
      </c>
      <c r="D70" s="3" t="s">
        <v>172</v>
      </c>
      <c r="E70" s="3"/>
    </row>
    <row r="71" spans="1:5" ht="15" customHeight="1" x14ac:dyDescent="0.3">
      <c r="A71" s="18" t="s">
        <v>173</v>
      </c>
      <c r="B71" s="28">
        <f>B69*'2. Supuestos'!$B$21</f>
        <v>116.25</v>
      </c>
      <c r="C71" s="18" t="s">
        <v>90</v>
      </c>
      <c r="D71" s="3" t="s">
        <v>174</v>
      </c>
      <c r="E71" s="3"/>
    </row>
    <row r="72" spans="1:5" ht="15" customHeight="1" x14ac:dyDescent="0.3">
      <c r="A72" s="18" t="s">
        <v>175</v>
      </c>
      <c r="B72" s="28">
        <f>B69*'2. Supuestos'!$B$22</f>
        <v>97.5</v>
      </c>
      <c r="C72" s="18" t="s">
        <v>90</v>
      </c>
      <c r="D72" s="3" t="s">
        <v>100</v>
      </c>
      <c r="E72" s="3"/>
    </row>
    <row r="73" spans="1:5" ht="15" customHeight="1" x14ac:dyDescent="0.3">
      <c r="A73" s="18" t="s">
        <v>176</v>
      </c>
      <c r="B73" s="23">
        <v>1500</v>
      </c>
      <c r="C73" s="18" t="s">
        <v>90</v>
      </c>
      <c r="D73" s="3" t="s">
        <v>177</v>
      </c>
      <c r="E73" s="3"/>
    </row>
    <row r="74" spans="1:5" ht="15" customHeight="1" x14ac:dyDescent="0.3">
      <c r="A74" s="18" t="s">
        <v>178</v>
      </c>
      <c r="B74" s="23">
        <v>1500</v>
      </c>
      <c r="C74" s="18" t="s">
        <v>90</v>
      </c>
      <c r="D74" s="3" t="s">
        <v>179</v>
      </c>
      <c r="E74" s="3"/>
    </row>
    <row r="75" spans="1:5" ht="15" customHeight="1" x14ac:dyDescent="0.3">
      <c r="A75" s="18" t="s">
        <v>154</v>
      </c>
      <c r="B75" s="23">
        <v>300</v>
      </c>
      <c r="C75" s="18" t="s">
        <v>90</v>
      </c>
      <c r="D75" s="3" t="s">
        <v>180</v>
      </c>
      <c r="E75" s="3"/>
    </row>
    <row r="76" spans="1:5" ht="15" customHeight="1" x14ac:dyDescent="0.3">
      <c r="A76" s="25" t="s">
        <v>181</v>
      </c>
      <c r="B76" s="26">
        <f>SUM(B69:B75)</f>
        <v>12138.75</v>
      </c>
      <c r="C76" s="25" t="s">
        <v>90</v>
      </c>
      <c r="D76" s="54"/>
      <c r="E76" s="54"/>
    </row>
  </sheetData>
  <mergeCells count="63">
    <mergeCell ref="D74:E74"/>
    <mergeCell ref="D75:E75"/>
    <mergeCell ref="D76:E76"/>
    <mergeCell ref="D69:E69"/>
    <mergeCell ref="D70:E70"/>
    <mergeCell ref="D71:E71"/>
    <mergeCell ref="D72:E72"/>
    <mergeCell ref="D73:E73"/>
    <mergeCell ref="A61:E61"/>
    <mergeCell ref="D63:E63"/>
    <mergeCell ref="D64:E64"/>
    <mergeCell ref="D65:E65"/>
    <mergeCell ref="A67:E67"/>
    <mergeCell ref="D55:E55"/>
    <mergeCell ref="D56:E56"/>
    <mergeCell ref="D57:E57"/>
    <mergeCell ref="D58:E58"/>
    <mergeCell ref="D59:E59"/>
    <mergeCell ref="D50:E50"/>
    <mergeCell ref="D51:E51"/>
    <mergeCell ref="D52:E52"/>
    <mergeCell ref="D53:E53"/>
    <mergeCell ref="D54:E54"/>
    <mergeCell ref="D43:E43"/>
    <mergeCell ref="D44:E44"/>
    <mergeCell ref="D45:E45"/>
    <mergeCell ref="D46:E46"/>
    <mergeCell ref="A48:E48"/>
    <mergeCell ref="D36:E36"/>
    <mergeCell ref="A38:E38"/>
    <mergeCell ref="D40:E40"/>
    <mergeCell ref="D41:E41"/>
    <mergeCell ref="D42:E42"/>
    <mergeCell ref="D31:E31"/>
    <mergeCell ref="D32:E32"/>
    <mergeCell ref="D33:E33"/>
    <mergeCell ref="D34:E34"/>
    <mergeCell ref="D35:E35"/>
    <mergeCell ref="D26:E26"/>
    <mergeCell ref="D27:E27"/>
    <mergeCell ref="D28:E28"/>
    <mergeCell ref="D29:E29"/>
    <mergeCell ref="D30:E30"/>
    <mergeCell ref="D20:E20"/>
    <mergeCell ref="D21:E21"/>
    <mergeCell ref="D22:E22"/>
    <mergeCell ref="D23:E23"/>
    <mergeCell ref="A24:E24"/>
    <mergeCell ref="D13:E13"/>
    <mergeCell ref="A15:E15"/>
    <mergeCell ref="D17:E17"/>
    <mergeCell ref="D18:E18"/>
    <mergeCell ref="D19:E19"/>
    <mergeCell ref="D8:E8"/>
    <mergeCell ref="D9:E9"/>
    <mergeCell ref="D10:E10"/>
    <mergeCell ref="D11:E11"/>
    <mergeCell ref="D12:E12"/>
    <mergeCell ref="A1:E1"/>
    <mergeCell ref="A2:E2"/>
    <mergeCell ref="A4:E4"/>
    <mergeCell ref="D6:E6"/>
    <mergeCell ref="D7:E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showGridLines="0" topLeftCell="A6" zoomScaleNormal="100" workbookViewId="0">
      <selection activeCell="C8" sqref="C8"/>
    </sheetView>
  </sheetViews>
  <sheetFormatPr baseColWidth="10" defaultColWidth="8.6640625" defaultRowHeight="14.4" x14ac:dyDescent="0.3"/>
  <cols>
    <col min="1" max="1" width="32" customWidth="1"/>
    <col min="2" max="2" width="28" customWidth="1"/>
    <col min="3" max="3" width="10" customWidth="1"/>
    <col min="4" max="4" width="16" customWidth="1"/>
    <col min="5" max="5" width="18" customWidth="1"/>
    <col min="6" max="6" width="28" customWidth="1"/>
  </cols>
  <sheetData>
    <row r="1" spans="1:6" ht="27.75" customHeight="1" x14ac:dyDescent="0.3">
      <c r="A1" s="7" t="s">
        <v>182</v>
      </c>
      <c r="B1" s="7"/>
      <c r="C1" s="7"/>
      <c r="D1" s="7"/>
      <c r="E1" s="7"/>
      <c r="F1" s="7"/>
    </row>
    <row r="2" spans="1:6" ht="18" customHeight="1" x14ac:dyDescent="0.3">
      <c r="A2" s="2" t="s">
        <v>183</v>
      </c>
      <c r="B2" s="2"/>
      <c r="C2" s="2"/>
      <c r="D2" s="2"/>
      <c r="E2" s="2"/>
      <c r="F2" s="2"/>
    </row>
    <row r="4" spans="1:6" ht="21.75" customHeight="1" x14ac:dyDescent="0.3">
      <c r="A4" s="1" t="s">
        <v>184</v>
      </c>
      <c r="B4" s="1"/>
      <c r="C4" s="1"/>
      <c r="D4" s="1"/>
      <c r="E4" s="1"/>
      <c r="F4" s="1"/>
    </row>
    <row r="5" spans="1:6" ht="30" customHeight="1" x14ac:dyDescent="0.3">
      <c r="A5" s="16" t="s">
        <v>61</v>
      </c>
      <c r="B5" s="16" t="s">
        <v>185</v>
      </c>
      <c r="C5" s="16" t="s">
        <v>186</v>
      </c>
      <c r="D5" s="16" t="s">
        <v>187</v>
      </c>
      <c r="E5" s="16" t="s">
        <v>188</v>
      </c>
      <c r="F5" s="16" t="s">
        <v>16</v>
      </c>
    </row>
    <row r="6" spans="1:6" ht="15" customHeight="1" x14ac:dyDescent="0.3">
      <c r="A6" s="17" t="s">
        <v>189</v>
      </c>
      <c r="B6" s="18" t="s">
        <v>190</v>
      </c>
      <c r="C6" s="29">
        <f>2*'2. Supuestos'!$B$12</f>
        <v>3</v>
      </c>
      <c r="D6" s="30">
        <f>'2. Supuestos'!$B$17</f>
        <v>1800</v>
      </c>
      <c r="E6" s="28">
        <f>C6*D6</f>
        <v>5400</v>
      </c>
      <c r="F6" s="18" t="s">
        <v>191</v>
      </c>
    </row>
    <row r="7" spans="1:6" ht="15" customHeight="1" x14ac:dyDescent="0.3">
      <c r="A7" s="17" t="s">
        <v>192</v>
      </c>
      <c r="B7" s="18" t="s">
        <v>190</v>
      </c>
      <c r="C7" s="29">
        <v>5</v>
      </c>
      <c r="D7" s="30">
        <f>'2. Supuestos'!$B$18</f>
        <v>3500</v>
      </c>
      <c r="E7" s="28">
        <f>C7*D7</f>
        <v>17500</v>
      </c>
      <c r="F7" s="18" t="s">
        <v>191</v>
      </c>
    </row>
    <row r="8" spans="1:6" ht="15" customHeight="1" x14ac:dyDescent="0.3">
      <c r="A8" s="17" t="s">
        <v>193</v>
      </c>
      <c r="B8" s="18" t="s">
        <v>194</v>
      </c>
      <c r="C8" s="18"/>
      <c r="D8" s="18"/>
      <c r="E8" s="31">
        <f>E6+E7</f>
        <v>22900</v>
      </c>
      <c r="F8" s="18" t="s">
        <v>195</v>
      </c>
    </row>
    <row r="9" spans="1:6" ht="15" customHeight="1" x14ac:dyDescent="0.3">
      <c r="A9" s="18" t="s">
        <v>196</v>
      </c>
      <c r="B9" s="18" t="s">
        <v>172</v>
      </c>
      <c r="C9" s="18"/>
      <c r="D9" s="32">
        <f>'2. Supuestos'!$B$20</f>
        <v>0.15</v>
      </c>
      <c r="E9" s="28">
        <f>E8*D9</f>
        <v>3435</v>
      </c>
      <c r="F9" s="18" t="s">
        <v>197</v>
      </c>
    </row>
    <row r="10" spans="1:6" ht="15" customHeight="1" x14ac:dyDescent="0.3">
      <c r="A10" s="18" t="s">
        <v>173</v>
      </c>
      <c r="B10" s="18" t="s">
        <v>98</v>
      </c>
      <c r="C10" s="18"/>
      <c r="D10" s="32">
        <f>'2. Supuestos'!$B$21</f>
        <v>1.55E-2</v>
      </c>
      <c r="E10" s="28">
        <f>E8*D10</f>
        <v>354.95</v>
      </c>
      <c r="F10" s="18" t="s">
        <v>198</v>
      </c>
    </row>
    <row r="11" spans="1:6" ht="15" customHeight="1" x14ac:dyDescent="0.3">
      <c r="A11" s="18" t="s">
        <v>175</v>
      </c>
      <c r="B11" s="18" t="s">
        <v>100</v>
      </c>
      <c r="C11" s="18"/>
      <c r="D11" s="32">
        <f>'2. Supuestos'!$B$22</f>
        <v>1.2999999999999999E-2</v>
      </c>
      <c r="E11" s="28">
        <f>E8*D11</f>
        <v>297.7</v>
      </c>
      <c r="F11" s="18" t="s">
        <v>198</v>
      </c>
    </row>
    <row r="12" spans="1:6" ht="15" customHeight="1" x14ac:dyDescent="0.3">
      <c r="A12" s="18" t="s">
        <v>199</v>
      </c>
      <c r="B12" s="18" t="s">
        <v>102</v>
      </c>
      <c r="C12" s="18"/>
      <c r="D12" s="18"/>
      <c r="E12" s="30">
        <f>'2. Supuestos'!$B$23</f>
        <v>250</v>
      </c>
      <c r="F12" s="18" t="s">
        <v>200</v>
      </c>
    </row>
    <row r="13" spans="1:6" ht="25.5" customHeight="1" x14ac:dyDescent="0.3">
      <c r="A13" s="54" t="s">
        <v>201</v>
      </c>
      <c r="B13" s="54"/>
      <c r="C13" s="54"/>
      <c r="D13" s="54"/>
      <c r="E13" s="26">
        <f>E8+E9+E10+E11+E12</f>
        <v>27237.65</v>
      </c>
      <c r="F13" s="25"/>
    </row>
    <row r="15" spans="1:6" ht="21.75" customHeight="1" x14ac:dyDescent="0.3">
      <c r="A15" s="1" t="s">
        <v>202</v>
      </c>
      <c r="B15" s="1"/>
      <c r="C15" s="1"/>
      <c r="D15" s="1"/>
      <c r="E15" s="1"/>
      <c r="F15" s="1"/>
    </row>
    <row r="16" spans="1:6" ht="15" customHeight="1" x14ac:dyDescent="0.3">
      <c r="A16" s="5" t="s">
        <v>203</v>
      </c>
      <c r="B16" s="5"/>
      <c r="C16" s="5"/>
      <c r="D16" s="5"/>
      <c r="E16" s="33">
        <f>'2. Supuestos'!$B$59</f>
        <v>2920</v>
      </c>
      <c r="F16" s="18" t="s">
        <v>204</v>
      </c>
    </row>
    <row r="18" spans="1:6" ht="21.75" customHeight="1" x14ac:dyDescent="0.3">
      <c r="A18" s="1" t="s">
        <v>205</v>
      </c>
      <c r="B18" s="1"/>
      <c r="C18" s="1"/>
      <c r="D18" s="1"/>
      <c r="E18" s="1"/>
      <c r="F18" s="1"/>
    </row>
    <row r="19" spans="1:6" ht="15" customHeight="1" x14ac:dyDescent="0.3">
      <c r="A19" s="3" t="s">
        <v>206</v>
      </c>
      <c r="B19" s="3"/>
      <c r="C19" s="3"/>
      <c r="D19" s="3"/>
      <c r="E19" s="28">
        <f>E13</f>
        <v>27237.65</v>
      </c>
      <c r="F19" s="18" t="s">
        <v>207</v>
      </c>
    </row>
    <row r="20" spans="1:6" ht="15" customHeight="1" x14ac:dyDescent="0.3">
      <c r="A20" s="3" t="s">
        <v>208</v>
      </c>
      <c r="B20" s="3"/>
      <c r="C20" s="3"/>
      <c r="D20" s="3"/>
      <c r="E20" s="28">
        <f>E16</f>
        <v>2920</v>
      </c>
      <c r="F20" s="18" t="s">
        <v>209</v>
      </c>
    </row>
    <row r="21" spans="1:6" ht="24" customHeight="1" x14ac:dyDescent="0.3">
      <c r="A21" s="54" t="s">
        <v>210</v>
      </c>
      <c r="B21" s="54"/>
      <c r="C21" s="54"/>
      <c r="D21" s="54"/>
      <c r="E21" s="26">
        <f>E19+E20</f>
        <v>30157.65</v>
      </c>
      <c r="F21" s="25" t="s">
        <v>211</v>
      </c>
    </row>
    <row r="22" spans="1:6" ht="24" customHeight="1" x14ac:dyDescent="0.3">
      <c r="A22" s="54" t="s">
        <v>212</v>
      </c>
      <c r="B22" s="54"/>
      <c r="C22" s="54"/>
      <c r="D22" s="54"/>
      <c r="E22" s="26">
        <f>E21*12</f>
        <v>361891.80000000005</v>
      </c>
      <c r="F22" s="25" t="s">
        <v>213</v>
      </c>
    </row>
    <row r="24" spans="1:6" ht="21.75" customHeight="1" x14ac:dyDescent="0.3">
      <c r="A24" s="1" t="s">
        <v>214</v>
      </c>
      <c r="B24" s="1"/>
      <c r="C24" s="1"/>
      <c r="D24" s="1"/>
      <c r="E24" s="1"/>
      <c r="F24" s="1"/>
    </row>
    <row r="25" spans="1:6" ht="15" customHeight="1" x14ac:dyDescent="0.3">
      <c r="A25" s="3" t="s">
        <v>215</v>
      </c>
      <c r="B25" s="3"/>
      <c r="C25" s="3"/>
      <c r="D25" s="3"/>
      <c r="E25" s="30">
        <f>'2. Supuestos'!$B$36</f>
        <v>35600</v>
      </c>
      <c r="F25" s="18" t="s">
        <v>216</v>
      </c>
    </row>
    <row r="26" spans="1:6" ht="15" customHeight="1" x14ac:dyDescent="0.3">
      <c r="A26" s="3" t="s">
        <v>217</v>
      </c>
      <c r="B26" s="3"/>
      <c r="C26" s="3"/>
      <c r="D26" s="3"/>
      <c r="E26" s="30">
        <f>'2. Supuestos'!$B$46</f>
        <v>12000</v>
      </c>
      <c r="F26" s="18" t="s">
        <v>218</v>
      </c>
    </row>
    <row r="27" spans="1:6" ht="24" customHeight="1" x14ac:dyDescent="0.3">
      <c r="A27" s="54" t="s">
        <v>219</v>
      </c>
      <c r="B27" s="54"/>
      <c r="C27" s="54"/>
      <c r="D27" s="54"/>
      <c r="E27" s="26">
        <f>E25+E26</f>
        <v>47600</v>
      </c>
      <c r="F27" s="25" t="s">
        <v>220</v>
      </c>
    </row>
  </sheetData>
  <mergeCells count="15">
    <mergeCell ref="A22:D22"/>
    <mergeCell ref="A24:F24"/>
    <mergeCell ref="A25:D25"/>
    <mergeCell ref="A26:D26"/>
    <mergeCell ref="A27:D27"/>
    <mergeCell ref="A16:D16"/>
    <mergeCell ref="A18:F18"/>
    <mergeCell ref="A19:D19"/>
    <mergeCell ref="A20:D20"/>
    <mergeCell ref="A21:D21"/>
    <mergeCell ref="A1:F1"/>
    <mergeCell ref="A2:F2"/>
    <mergeCell ref="A4:F4"/>
    <mergeCell ref="A13:D13"/>
    <mergeCell ref="A15:F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showGridLines="0" tabSelected="1" zoomScaleNormal="100" workbookViewId="0">
      <selection sqref="A1:F1"/>
    </sheetView>
  </sheetViews>
  <sheetFormatPr baseColWidth="10" defaultColWidth="8.6640625" defaultRowHeight="14.4" x14ac:dyDescent="0.3"/>
  <cols>
    <col min="1" max="1" width="32" customWidth="1"/>
    <col min="2" max="2" width="28" customWidth="1"/>
    <col min="3" max="3" width="10" customWidth="1"/>
    <col min="4" max="4" width="16" customWidth="1"/>
    <col min="5" max="5" width="18" customWidth="1"/>
    <col min="6" max="6" width="32" customWidth="1"/>
  </cols>
  <sheetData>
    <row r="1" spans="1:6" ht="27.75" customHeight="1" x14ac:dyDescent="0.3">
      <c r="A1" s="7" t="s">
        <v>221</v>
      </c>
      <c r="B1" s="7"/>
      <c r="C1" s="7"/>
      <c r="D1" s="7"/>
      <c r="E1" s="7"/>
      <c r="F1" s="7"/>
    </row>
    <row r="2" spans="1:6" ht="18" customHeight="1" x14ac:dyDescent="0.3">
      <c r="A2" s="2" t="s">
        <v>222</v>
      </c>
      <c r="B2" s="2"/>
      <c r="C2" s="2"/>
      <c r="D2" s="2"/>
      <c r="E2" s="2"/>
      <c r="F2" s="2"/>
    </row>
    <row r="4" spans="1:6" ht="21.75" customHeight="1" x14ac:dyDescent="0.3">
      <c r="A4" s="1" t="s">
        <v>223</v>
      </c>
      <c r="B4" s="1"/>
      <c r="C4" s="1"/>
      <c r="D4" s="1"/>
      <c r="E4" s="1"/>
      <c r="F4" s="1"/>
    </row>
    <row r="5" spans="1:6" ht="30" customHeight="1" x14ac:dyDescent="0.3">
      <c r="A5" s="16" t="s">
        <v>61</v>
      </c>
      <c r="B5" s="16" t="s">
        <v>224</v>
      </c>
      <c r="C5" s="16" t="s">
        <v>186</v>
      </c>
      <c r="D5" s="16" t="s">
        <v>187</v>
      </c>
      <c r="E5" s="16" t="s">
        <v>188</v>
      </c>
      <c r="F5" s="16" t="s">
        <v>16</v>
      </c>
    </row>
    <row r="6" spans="1:6" ht="15" customHeight="1" x14ac:dyDescent="0.3">
      <c r="A6" s="17" t="s">
        <v>225</v>
      </c>
      <c r="B6" s="18" t="s">
        <v>190</v>
      </c>
      <c r="C6" s="34">
        <f>2*'2. Supuestos'!$B$12</f>
        <v>3</v>
      </c>
      <c r="D6" s="30">
        <f>'2. Supuestos'!$B$19</f>
        <v>2500</v>
      </c>
      <c r="E6" s="28">
        <f>C6*D6</f>
        <v>7500</v>
      </c>
      <c r="F6" s="18" t="s">
        <v>226</v>
      </c>
    </row>
    <row r="7" spans="1:6" ht="15" customHeight="1" x14ac:dyDescent="0.3">
      <c r="A7" s="17" t="s">
        <v>227</v>
      </c>
      <c r="B7" s="18"/>
      <c r="C7" s="18"/>
      <c r="D7" s="18"/>
      <c r="E7" s="28">
        <f>E6</f>
        <v>7500</v>
      </c>
      <c r="F7" s="18"/>
    </row>
    <row r="8" spans="1:6" ht="15" customHeight="1" x14ac:dyDescent="0.3">
      <c r="A8" s="18" t="s">
        <v>196</v>
      </c>
      <c r="B8" s="18" t="s">
        <v>172</v>
      </c>
      <c r="C8" s="18"/>
      <c r="D8" s="35">
        <f>'2. Supuestos'!$B$20</f>
        <v>0.15</v>
      </c>
      <c r="E8" s="28">
        <f>E7*D8</f>
        <v>1125</v>
      </c>
      <c r="F8" s="18" t="s">
        <v>197</v>
      </c>
    </row>
    <row r="9" spans="1:6" ht="15" customHeight="1" x14ac:dyDescent="0.3">
      <c r="A9" s="18" t="s">
        <v>173</v>
      </c>
      <c r="B9" s="18" t="s">
        <v>100</v>
      </c>
      <c r="C9" s="18"/>
      <c r="D9" s="35">
        <f>'2. Supuestos'!$B$21</f>
        <v>1.55E-2</v>
      </c>
      <c r="E9" s="28">
        <f>E7*D9</f>
        <v>116.25</v>
      </c>
      <c r="F9" s="18" t="s">
        <v>198</v>
      </c>
    </row>
    <row r="10" spans="1:6" ht="15" customHeight="1" x14ac:dyDescent="0.3">
      <c r="A10" s="18" t="s">
        <v>175</v>
      </c>
      <c r="B10" s="18" t="s">
        <v>100</v>
      </c>
      <c r="C10" s="18"/>
      <c r="D10" s="35">
        <f>'2. Supuestos'!$B$22</f>
        <v>1.2999999999999999E-2</v>
      </c>
      <c r="E10" s="28">
        <f>E7*D10</f>
        <v>97.5</v>
      </c>
      <c r="F10" s="18" t="s">
        <v>198</v>
      </c>
    </row>
    <row r="11" spans="1:6" ht="24" customHeight="1" x14ac:dyDescent="0.3">
      <c r="A11" s="54" t="s">
        <v>228</v>
      </c>
      <c r="B11" s="54"/>
      <c r="C11" s="54"/>
      <c r="D11" s="54"/>
      <c r="E11" s="26">
        <f>E7+E8+E9+E10</f>
        <v>8838.75</v>
      </c>
      <c r="F11" s="25"/>
    </row>
    <row r="13" spans="1:6" ht="21.75" customHeight="1" x14ac:dyDescent="0.3">
      <c r="A13" s="1" t="s">
        <v>229</v>
      </c>
      <c r="B13" s="1"/>
      <c r="C13" s="1"/>
      <c r="D13" s="1"/>
      <c r="E13" s="1"/>
      <c r="F13" s="1"/>
    </row>
    <row r="14" spans="1:6" ht="15" customHeight="1" x14ac:dyDescent="0.3">
      <c r="A14" s="3" t="s">
        <v>176</v>
      </c>
      <c r="B14" s="3"/>
      <c r="C14" s="3"/>
      <c r="D14" s="3"/>
      <c r="E14" s="36">
        <v>1500</v>
      </c>
      <c r="F14" s="18" t="s">
        <v>230</v>
      </c>
    </row>
    <row r="15" spans="1:6" ht="15" customHeight="1" x14ac:dyDescent="0.3">
      <c r="A15" s="3" t="s">
        <v>231</v>
      </c>
      <c r="B15" s="3"/>
      <c r="C15" s="3"/>
      <c r="D15" s="3"/>
      <c r="E15" s="36">
        <v>1500</v>
      </c>
      <c r="F15" s="18" t="s">
        <v>179</v>
      </c>
    </row>
    <row r="16" spans="1:6" ht="15" customHeight="1" x14ac:dyDescent="0.3">
      <c r="A16" s="3" t="s">
        <v>154</v>
      </c>
      <c r="B16" s="3"/>
      <c r="C16" s="3"/>
      <c r="D16" s="3"/>
      <c r="E16" s="36">
        <v>300</v>
      </c>
      <c r="F16" s="18" t="s">
        <v>180</v>
      </c>
    </row>
    <row r="17" spans="1:6" ht="15" customHeight="1" x14ac:dyDescent="0.3">
      <c r="A17" s="3" t="s">
        <v>232</v>
      </c>
      <c r="B17" s="3"/>
      <c r="C17" s="3"/>
      <c r="D17" s="3"/>
      <c r="E17" s="36">
        <v>0</v>
      </c>
      <c r="F17" s="18" t="s">
        <v>233</v>
      </c>
    </row>
    <row r="18" spans="1:6" ht="24" customHeight="1" x14ac:dyDescent="0.3">
      <c r="A18" s="54" t="s">
        <v>234</v>
      </c>
      <c r="B18" s="54"/>
      <c r="C18" s="54"/>
      <c r="D18" s="54"/>
      <c r="E18" s="26">
        <f>SUM(E14:E17)</f>
        <v>3300</v>
      </c>
      <c r="F18" s="25"/>
    </row>
    <row r="20" spans="1:6" ht="21.75" customHeight="1" x14ac:dyDescent="0.3">
      <c r="A20" s="1" t="s">
        <v>235</v>
      </c>
      <c r="B20" s="1"/>
      <c r="C20" s="1"/>
      <c r="D20" s="1"/>
      <c r="E20" s="1"/>
      <c r="F20" s="1"/>
    </row>
    <row r="21" spans="1:6" ht="15" customHeight="1" x14ac:dyDescent="0.3">
      <c r="A21" s="3" t="s">
        <v>236</v>
      </c>
      <c r="B21" s="3"/>
      <c r="C21" s="3"/>
      <c r="D21" s="3"/>
      <c r="E21" s="28">
        <f>E11</f>
        <v>8838.75</v>
      </c>
      <c r="F21" s="18" t="s">
        <v>237</v>
      </c>
    </row>
    <row r="22" spans="1:6" ht="15" customHeight="1" x14ac:dyDescent="0.3">
      <c r="A22" s="3" t="s">
        <v>238</v>
      </c>
      <c r="B22" s="3"/>
      <c r="C22" s="3"/>
      <c r="D22" s="3"/>
      <c r="E22" s="28">
        <f>E18</f>
        <v>3300</v>
      </c>
      <c r="F22" s="18" t="s">
        <v>239</v>
      </c>
    </row>
    <row r="23" spans="1:6" ht="24" customHeight="1" x14ac:dyDescent="0.3">
      <c r="A23" s="54" t="s">
        <v>240</v>
      </c>
      <c r="B23" s="54"/>
      <c r="C23" s="54"/>
      <c r="D23" s="54"/>
      <c r="E23" s="26">
        <f>E21+E22</f>
        <v>12138.75</v>
      </c>
      <c r="F23" s="25" t="s">
        <v>241</v>
      </c>
    </row>
    <row r="24" spans="1:6" ht="24" customHeight="1" x14ac:dyDescent="0.3">
      <c r="A24" s="54" t="s">
        <v>242</v>
      </c>
      <c r="B24" s="54"/>
      <c r="C24" s="54"/>
      <c r="D24" s="54"/>
      <c r="E24" s="26">
        <f>E23*12</f>
        <v>145665</v>
      </c>
      <c r="F24" s="25" t="s">
        <v>243</v>
      </c>
    </row>
    <row r="25" spans="1:6" ht="24" customHeight="1" x14ac:dyDescent="0.3">
      <c r="A25" s="54" t="s">
        <v>244</v>
      </c>
      <c r="B25" s="54"/>
      <c r="C25" s="54"/>
      <c r="D25" s="54"/>
      <c r="E25" s="37">
        <f>'2. Supuestos'!$B$65</f>
        <v>70000</v>
      </c>
      <c r="F25" s="25" t="s">
        <v>245</v>
      </c>
    </row>
  </sheetData>
  <mergeCells count="16">
    <mergeCell ref="A25:D25"/>
    <mergeCell ref="A20:F20"/>
    <mergeCell ref="A21:D21"/>
    <mergeCell ref="A22:D22"/>
    <mergeCell ref="A23:D23"/>
    <mergeCell ref="A24:D24"/>
    <mergeCell ref="A14:D14"/>
    <mergeCell ref="A15:D15"/>
    <mergeCell ref="A16:D16"/>
    <mergeCell ref="A17:D17"/>
    <mergeCell ref="A18:D18"/>
    <mergeCell ref="A1:F1"/>
    <mergeCell ref="A2:F2"/>
    <mergeCell ref="A4:F4"/>
    <mergeCell ref="A11:D11"/>
    <mergeCell ref="A13:F1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showGridLines="0" zoomScaleNormal="100" workbookViewId="0"/>
  </sheetViews>
  <sheetFormatPr baseColWidth="10" defaultColWidth="8.6640625" defaultRowHeight="14.4" x14ac:dyDescent="0.3"/>
  <cols>
    <col min="1" max="1" width="36" customWidth="1"/>
    <col min="2" max="2" width="12" customWidth="1"/>
    <col min="3" max="3" width="16" customWidth="1"/>
    <col min="4" max="4" width="12" customWidth="1"/>
    <col min="5" max="5" width="20" customWidth="1"/>
  </cols>
  <sheetData>
    <row r="1" spans="1:5" ht="27.75" customHeight="1" x14ac:dyDescent="0.3">
      <c r="A1" s="7" t="s">
        <v>246</v>
      </c>
      <c r="B1" s="7"/>
      <c r="C1" s="7"/>
      <c r="D1" s="7"/>
      <c r="E1" s="7"/>
    </row>
    <row r="2" spans="1:5" ht="18" customHeight="1" x14ac:dyDescent="0.3">
      <c r="A2" s="2" t="s">
        <v>247</v>
      </c>
      <c r="B2" s="2"/>
      <c r="C2" s="2"/>
      <c r="D2" s="2"/>
      <c r="E2" s="2"/>
    </row>
    <row r="4" spans="1:5" ht="21.75" customHeight="1" x14ac:dyDescent="0.3">
      <c r="A4" s="1" t="s">
        <v>248</v>
      </c>
      <c r="B4" s="1"/>
      <c r="C4" s="1"/>
      <c r="D4" s="1"/>
      <c r="E4" s="1"/>
    </row>
    <row r="5" spans="1:5" ht="30" customHeight="1" x14ac:dyDescent="0.3">
      <c r="A5" s="16" t="s">
        <v>61</v>
      </c>
      <c r="B5" s="16" t="s">
        <v>249</v>
      </c>
      <c r="C5" s="16" t="s">
        <v>200</v>
      </c>
      <c r="D5" s="16" t="s">
        <v>186</v>
      </c>
      <c r="E5" s="16" t="s">
        <v>250</v>
      </c>
    </row>
    <row r="6" spans="1:5" ht="15" customHeight="1" x14ac:dyDescent="0.3">
      <c r="A6" s="18" t="s">
        <v>251</v>
      </c>
      <c r="B6" s="38" t="s">
        <v>252</v>
      </c>
      <c r="C6" s="30">
        <f>'2. Supuestos'!$B$36</f>
        <v>35600</v>
      </c>
      <c r="D6" s="39">
        <f>'2. Supuestos'!$B$6</f>
        <v>33</v>
      </c>
      <c r="E6" s="31">
        <f>C6*D6</f>
        <v>1174800</v>
      </c>
    </row>
    <row r="7" spans="1:5" ht="15" customHeight="1" x14ac:dyDescent="0.3">
      <c r="A7" s="18" t="s">
        <v>253</v>
      </c>
      <c r="B7" s="40" t="s">
        <v>254</v>
      </c>
      <c r="C7" s="30">
        <f>'2. Supuestos'!$B$46</f>
        <v>12000</v>
      </c>
      <c r="D7" s="39">
        <f>'2. Supuestos'!$B$6</f>
        <v>33</v>
      </c>
      <c r="E7" s="31">
        <f>C7*D7</f>
        <v>396000</v>
      </c>
    </row>
    <row r="8" spans="1:5" ht="15" customHeight="1" x14ac:dyDescent="0.3">
      <c r="A8" s="18" t="s">
        <v>255</v>
      </c>
      <c r="B8" s="40" t="s">
        <v>254</v>
      </c>
      <c r="C8" s="30">
        <f>'4. Central Despacho'!$E$25</f>
        <v>70000</v>
      </c>
      <c r="D8" s="41">
        <v>1</v>
      </c>
      <c r="E8" s="31">
        <f>C8*D8</f>
        <v>70000</v>
      </c>
    </row>
    <row r="9" spans="1:5" ht="24" customHeight="1" x14ac:dyDescent="0.3">
      <c r="A9" s="55" t="s">
        <v>256</v>
      </c>
      <c r="B9" s="55"/>
      <c r="C9" s="55"/>
      <c r="D9" s="55"/>
      <c r="E9" s="26">
        <f>SUM(E6:E8)</f>
        <v>1640800</v>
      </c>
    </row>
    <row r="11" spans="1:5" ht="21.75" customHeight="1" x14ac:dyDescent="0.3">
      <c r="A11" s="1" t="s">
        <v>257</v>
      </c>
      <c r="B11" s="1"/>
      <c r="C11" s="1"/>
      <c r="D11" s="1"/>
      <c r="E11" s="1"/>
    </row>
    <row r="12" spans="1:5" ht="30" customHeight="1" x14ac:dyDescent="0.3">
      <c r="A12" s="16" t="s">
        <v>61</v>
      </c>
      <c r="B12" s="16" t="s">
        <v>249</v>
      </c>
      <c r="C12" s="16" t="s">
        <v>200</v>
      </c>
      <c r="D12" s="16" t="s">
        <v>186</v>
      </c>
      <c r="E12" s="16" t="s">
        <v>250</v>
      </c>
    </row>
    <row r="13" spans="1:5" ht="15" customHeight="1" x14ac:dyDescent="0.3">
      <c r="A13" s="18" t="s">
        <v>258</v>
      </c>
      <c r="B13" s="40" t="s">
        <v>254</v>
      </c>
      <c r="C13" s="30">
        <f>'3. Costeo por Moto'!$E$21</f>
        <v>30157.65</v>
      </c>
      <c r="D13" s="39">
        <f>'2. Supuestos'!$B$6</f>
        <v>33</v>
      </c>
      <c r="E13" s="31">
        <f>C13*D13</f>
        <v>995202.45000000007</v>
      </c>
    </row>
    <row r="14" spans="1:5" ht="15" customHeight="1" x14ac:dyDescent="0.3">
      <c r="A14" s="18" t="s">
        <v>259</v>
      </c>
      <c r="B14" s="40" t="s">
        <v>254</v>
      </c>
      <c r="C14" s="30">
        <f>'4. Central Despacho'!$E$23</f>
        <v>12138.75</v>
      </c>
      <c r="D14" s="41">
        <v>1</v>
      </c>
      <c r="E14" s="31">
        <f>C14*D14</f>
        <v>12138.75</v>
      </c>
    </row>
    <row r="15" spans="1:5" ht="24" customHeight="1" x14ac:dyDescent="0.3">
      <c r="A15" s="55" t="s">
        <v>260</v>
      </c>
      <c r="B15" s="55"/>
      <c r="C15" s="55"/>
      <c r="D15" s="55"/>
      <c r="E15" s="26">
        <f>SUM(E13:E14)</f>
        <v>1007341.2000000001</v>
      </c>
    </row>
    <row r="16" spans="1:5" ht="24" customHeight="1" x14ac:dyDescent="0.3">
      <c r="A16" s="55" t="s">
        <v>261</v>
      </c>
      <c r="B16" s="55"/>
      <c r="C16" s="55"/>
      <c r="D16" s="55"/>
      <c r="E16" s="26">
        <f>E15*12</f>
        <v>12088094.4</v>
      </c>
    </row>
    <row r="18" spans="1:5" ht="21.75" customHeight="1" x14ac:dyDescent="0.3">
      <c r="A18" s="1" t="s">
        <v>262</v>
      </c>
      <c r="B18" s="1"/>
      <c r="C18" s="1"/>
      <c r="D18" s="1"/>
      <c r="E18" s="1"/>
    </row>
    <row r="19" spans="1:5" ht="15" customHeight="1" x14ac:dyDescent="0.3">
      <c r="A19" s="56" t="s">
        <v>263</v>
      </c>
      <c r="B19" s="56"/>
      <c r="C19" s="56"/>
      <c r="D19" s="56"/>
      <c r="E19" s="31">
        <f>E9</f>
        <v>1640800</v>
      </c>
    </row>
    <row r="20" spans="1:5" ht="15" customHeight="1" x14ac:dyDescent="0.3">
      <c r="A20" s="56" t="s">
        <v>39</v>
      </c>
      <c r="B20" s="56"/>
      <c r="C20" s="56"/>
      <c r="D20" s="56"/>
      <c r="E20" s="31">
        <f>E16</f>
        <v>12088094.4</v>
      </c>
    </row>
    <row r="21" spans="1:5" ht="27.75" customHeight="1" x14ac:dyDescent="0.3">
      <c r="A21" s="55" t="s">
        <v>264</v>
      </c>
      <c r="B21" s="55"/>
      <c r="C21" s="55"/>
      <c r="D21" s="55"/>
      <c r="E21" s="42">
        <f>E19+E20</f>
        <v>13728894.4</v>
      </c>
    </row>
    <row r="23" spans="1:5" ht="21.75" customHeight="1" x14ac:dyDescent="0.3">
      <c r="A23" s="1" t="s">
        <v>265</v>
      </c>
      <c r="B23" s="1"/>
      <c r="C23" s="1"/>
      <c r="D23" s="1"/>
      <c r="E23" s="1"/>
    </row>
    <row r="24" spans="1:5" ht="30" customHeight="1" x14ac:dyDescent="0.3">
      <c r="A24" s="27" t="s">
        <v>266</v>
      </c>
      <c r="B24" s="27" t="s">
        <v>61</v>
      </c>
      <c r="C24" s="27"/>
      <c r="D24" s="27"/>
      <c r="E24" s="27" t="s">
        <v>267</v>
      </c>
    </row>
    <row r="25" spans="1:5" ht="15" customHeight="1" x14ac:dyDescent="0.3">
      <c r="A25" s="57" t="s">
        <v>268</v>
      </c>
      <c r="B25" s="57"/>
      <c r="C25" s="56" t="s">
        <v>269</v>
      </c>
      <c r="D25" s="56"/>
      <c r="E25" s="28">
        <f>E6</f>
        <v>1174800</v>
      </c>
    </row>
    <row r="26" spans="1:5" ht="23.25" customHeight="1" x14ac:dyDescent="0.3">
      <c r="A26" s="58" t="s">
        <v>270</v>
      </c>
      <c r="B26" s="58"/>
      <c r="C26" s="56" t="s">
        <v>271</v>
      </c>
      <c r="D26" s="56"/>
      <c r="E26" s="28">
        <f>E7+E8+E20</f>
        <v>12554094.4</v>
      </c>
    </row>
    <row r="27" spans="1:5" ht="24" customHeight="1" x14ac:dyDescent="0.3">
      <c r="A27" s="55" t="s">
        <v>272</v>
      </c>
      <c r="B27" s="55"/>
      <c r="C27" s="55"/>
      <c r="D27" s="55"/>
      <c r="E27" s="26">
        <f>E25+E26</f>
        <v>13728894.4</v>
      </c>
    </row>
    <row r="29" spans="1:5" ht="15" customHeight="1" x14ac:dyDescent="0.3">
      <c r="A29" s="56" t="s">
        <v>273</v>
      </c>
      <c r="B29" s="56"/>
      <c r="C29" s="56"/>
      <c r="D29" s="56"/>
      <c r="E29" s="43">
        <f>E25/E27</f>
        <v>8.5571347973949011E-2</v>
      </c>
    </row>
    <row r="30" spans="1:5" ht="15" customHeight="1" x14ac:dyDescent="0.3">
      <c r="A30" s="56" t="s">
        <v>274</v>
      </c>
      <c r="B30" s="56"/>
      <c r="C30" s="56"/>
      <c r="D30" s="56"/>
      <c r="E30" s="44">
        <f>E26/E27</f>
        <v>0.91442865202605095</v>
      </c>
    </row>
    <row r="31" spans="1:5" ht="15" customHeight="1" x14ac:dyDescent="0.3">
      <c r="A31" s="59" t="s">
        <v>275</v>
      </c>
      <c r="B31" s="59"/>
      <c r="C31" s="59"/>
      <c r="D31" s="59"/>
      <c r="E31" s="45">
        <f>E26/E25</f>
        <v>10.686154579502894</v>
      </c>
    </row>
    <row r="33" spans="1:5" ht="15" customHeight="1" x14ac:dyDescent="0.3">
      <c r="A33" s="46" t="s">
        <v>276</v>
      </c>
    </row>
    <row r="34" spans="1:5" ht="15" customHeight="1" x14ac:dyDescent="0.3">
      <c r="A34" s="60" t="s">
        <v>277</v>
      </c>
      <c r="B34" s="60"/>
      <c r="C34" s="60"/>
      <c r="D34" s="60"/>
      <c r="E34" s="60"/>
    </row>
    <row r="35" spans="1:5" ht="15" customHeight="1" x14ac:dyDescent="0.3">
      <c r="A35" s="60"/>
      <c r="B35" s="60"/>
      <c r="C35" s="60"/>
      <c r="D35" s="60"/>
      <c r="E35" s="60"/>
    </row>
    <row r="36" spans="1:5" ht="15" customHeight="1" x14ac:dyDescent="0.3">
      <c r="A36" s="60"/>
      <c r="B36" s="60"/>
      <c r="C36" s="60"/>
      <c r="D36" s="60"/>
      <c r="E36" s="60"/>
    </row>
  </sheetData>
  <mergeCells count="21">
    <mergeCell ref="A27:D27"/>
    <mergeCell ref="A29:D29"/>
    <mergeCell ref="A30:D30"/>
    <mergeCell ref="A31:D31"/>
    <mergeCell ref="A34:E36"/>
    <mergeCell ref="A21:D21"/>
    <mergeCell ref="A23:E23"/>
    <mergeCell ref="A25:B25"/>
    <mergeCell ref="C25:D25"/>
    <mergeCell ref="A26:B26"/>
    <mergeCell ref="C26:D26"/>
    <mergeCell ref="A15:D15"/>
    <mergeCell ref="A16:D16"/>
    <mergeCell ref="A18:E18"/>
    <mergeCell ref="A19:D19"/>
    <mergeCell ref="A20:D20"/>
    <mergeCell ref="A1:E1"/>
    <mergeCell ref="A2:E2"/>
    <mergeCell ref="A4:E4"/>
    <mergeCell ref="A9:D9"/>
    <mergeCell ref="A11:E1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showGridLines="0" zoomScaleNormal="100" workbookViewId="0"/>
  </sheetViews>
  <sheetFormatPr baseColWidth="10" defaultColWidth="8.6640625" defaultRowHeight="14.4" x14ac:dyDescent="0.3"/>
  <cols>
    <col min="1" max="1" width="48" customWidth="1"/>
    <col min="2" max="5" width="18" customWidth="1"/>
  </cols>
  <sheetData>
    <row r="1" spans="1:5" ht="27.75" customHeight="1" x14ac:dyDescent="0.3">
      <c r="A1" s="7" t="s">
        <v>278</v>
      </c>
      <c r="B1" s="7"/>
      <c r="C1" s="7"/>
      <c r="D1" s="7"/>
      <c r="E1" s="7"/>
    </row>
    <row r="2" spans="1:5" ht="18" customHeight="1" x14ac:dyDescent="0.3">
      <c r="A2" s="2" t="s">
        <v>279</v>
      </c>
      <c r="B2" s="2"/>
      <c r="C2" s="2"/>
      <c r="D2" s="2"/>
      <c r="E2" s="2"/>
    </row>
    <row r="4" spans="1:5" ht="24" customHeight="1" x14ac:dyDescent="0.3">
      <c r="A4" s="61" t="s">
        <v>61</v>
      </c>
      <c r="B4" s="62" t="s">
        <v>280</v>
      </c>
      <c r="C4" s="62"/>
      <c r="D4" s="63" t="s">
        <v>281</v>
      </c>
      <c r="E4" s="63"/>
    </row>
    <row r="5" spans="1:5" ht="24" customHeight="1" x14ac:dyDescent="0.3">
      <c r="A5" s="61"/>
      <c r="B5" s="16" t="s">
        <v>282</v>
      </c>
      <c r="C5" s="16" t="s">
        <v>283</v>
      </c>
      <c r="D5" s="27" t="s">
        <v>282</v>
      </c>
      <c r="E5" s="27" t="s">
        <v>283</v>
      </c>
    </row>
    <row r="6" spans="1:5" ht="15" customHeight="1" x14ac:dyDescent="0.3">
      <c r="A6" s="18" t="s">
        <v>284</v>
      </c>
      <c r="B6" s="30">
        <f>'5. Piloto 33 Motos'!E6</f>
        <v>1174800</v>
      </c>
      <c r="C6" s="28">
        <f>B6</f>
        <v>1174800</v>
      </c>
      <c r="D6" s="30">
        <f>'5. Piloto 33 Motos'!E6</f>
        <v>1174800</v>
      </c>
      <c r="E6" s="28">
        <f>D6</f>
        <v>1174800</v>
      </c>
    </row>
    <row r="7" spans="1:5" ht="15" customHeight="1" x14ac:dyDescent="0.3">
      <c r="A7" s="18" t="s">
        <v>285</v>
      </c>
      <c r="B7" s="30">
        <f>'5. Piloto 33 Motos'!E7</f>
        <v>396000</v>
      </c>
      <c r="C7" s="28">
        <f>B7</f>
        <v>396000</v>
      </c>
      <c r="D7" s="30">
        <f>'5. Piloto 33 Motos'!E7</f>
        <v>396000</v>
      </c>
      <c r="E7" s="28">
        <f>D7</f>
        <v>396000</v>
      </c>
    </row>
    <row r="8" spans="1:5" ht="15" customHeight="1" x14ac:dyDescent="0.3">
      <c r="A8" s="18" t="s">
        <v>286</v>
      </c>
      <c r="B8" s="23">
        <v>80000</v>
      </c>
      <c r="C8" s="28">
        <f>B8</f>
        <v>80000</v>
      </c>
      <c r="D8" s="30">
        <f>'5. Piloto 33 Motos'!E8</f>
        <v>70000</v>
      </c>
      <c r="E8" s="28">
        <f>D8</f>
        <v>70000</v>
      </c>
    </row>
    <row r="9" spans="1:5" ht="15" customHeight="1" x14ac:dyDescent="0.3">
      <c r="A9" s="25" t="s">
        <v>256</v>
      </c>
      <c r="B9" s="26">
        <f>SUM(B6:B8)</f>
        <v>1650800</v>
      </c>
      <c r="C9" s="26">
        <f>SUM(C6:C8)</f>
        <v>1650800</v>
      </c>
      <c r="D9" s="26">
        <f>SUM(D6:D8)</f>
        <v>1640800</v>
      </c>
      <c r="E9" s="26">
        <f>SUM(E6:E8)</f>
        <v>1640800</v>
      </c>
    </row>
    <row r="11" spans="1:5" ht="21.75" customHeight="1" x14ac:dyDescent="0.3">
      <c r="A11" s="64" t="s">
        <v>287</v>
      </c>
      <c r="B11" s="64"/>
      <c r="C11" s="64"/>
      <c r="D11" s="64"/>
      <c r="E11" s="64"/>
    </row>
    <row r="12" spans="1:5" ht="15" customHeight="1" x14ac:dyDescent="0.3">
      <c r="A12" s="18" t="s">
        <v>288</v>
      </c>
      <c r="B12" s="30">
        <f>'5. Piloto 33 Motos'!E13*12</f>
        <v>11942429.4</v>
      </c>
      <c r="C12" s="28">
        <f>B12*5</f>
        <v>59712147</v>
      </c>
      <c r="D12" s="30">
        <f>'5. Piloto 33 Motos'!E13*12</f>
        <v>11942429.4</v>
      </c>
      <c r="E12" s="28">
        <f>D12*5</f>
        <v>59712147</v>
      </c>
    </row>
    <row r="13" spans="1:5" ht="15" customHeight="1" x14ac:dyDescent="0.3">
      <c r="A13" s="18" t="s">
        <v>289</v>
      </c>
      <c r="B13" s="23">
        <v>0</v>
      </c>
      <c r="C13" s="28">
        <f>B13*5</f>
        <v>0</v>
      </c>
      <c r="D13" s="30">
        <f>'4. Central Despacho'!$E$24</f>
        <v>145665</v>
      </c>
      <c r="E13" s="28">
        <f>D13*5</f>
        <v>728325</v>
      </c>
    </row>
    <row r="14" spans="1:5" ht="15" customHeight="1" x14ac:dyDescent="0.3">
      <c r="A14" s="25" t="s">
        <v>290</v>
      </c>
      <c r="B14" s="26">
        <f>SUM(B12:B13)</f>
        <v>11942429.4</v>
      </c>
      <c r="C14" s="26">
        <f>SUM(C12:C13)</f>
        <v>59712147</v>
      </c>
      <c r="D14" s="26">
        <f>SUM(D12:D13)</f>
        <v>12088094.4</v>
      </c>
      <c r="E14" s="26">
        <f>SUM(E12:E13)</f>
        <v>60440472</v>
      </c>
    </row>
    <row r="16" spans="1:5" ht="30" customHeight="1" x14ac:dyDescent="0.3">
      <c r="A16" s="47" t="s">
        <v>291</v>
      </c>
      <c r="B16" s="42">
        <f>B9+B14</f>
        <v>13593229.4</v>
      </c>
      <c r="C16" s="42">
        <f>C9+C14</f>
        <v>61362947</v>
      </c>
      <c r="D16" s="42">
        <f>D9+D14</f>
        <v>13728894.4</v>
      </c>
      <c r="E16" s="42">
        <f>E9+E14</f>
        <v>62081272</v>
      </c>
    </row>
    <row r="18" spans="1:4" ht="15" customHeight="1" x14ac:dyDescent="0.3">
      <c r="A18" s="48" t="s">
        <v>292</v>
      </c>
      <c r="B18" s="49">
        <f>D16-B16</f>
        <v>135665</v>
      </c>
      <c r="D18" s="49">
        <f>E16-C16</f>
        <v>718325</v>
      </c>
    </row>
  </sheetData>
  <mergeCells count="6">
    <mergeCell ref="A11:E11"/>
    <mergeCell ref="A1:E1"/>
    <mergeCell ref="A2:E2"/>
    <mergeCell ref="A4:A5"/>
    <mergeCell ref="B4:C4"/>
    <mergeCell ref="D4:E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1"/>
  <sheetViews>
    <sheetView showGridLines="0" zoomScaleNormal="100" workbookViewId="0"/>
  </sheetViews>
  <sheetFormatPr baseColWidth="10" defaultColWidth="8.6640625" defaultRowHeight="14.4" x14ac:dyDescent="0.3"/>
  <cols>
    <col min="1" max="1" width="32" customWidth="1"/>
    <col min="2" max="7" width="16" customWidth="1"/>
  </cols>
  <sheetData>
    <row r="1" spans="1:7" ht="27.75" customHeight="1" x14ac:dyDescent="0.3">
      <c r="A1" s="7" t="s">
        <v>293</v>
      </c>
      <c r="B1" s="7"/>
      <c r="C1" s="7"/>
      <c r="D1" s="7"/>
      <c r="E1" s="7"/>
      <c r="F1" s="7"/>
      <c r="G1" s="7"/>
    </row>
    <row r="2" spans="1:7" ht="18" customHeight="1" x14ac:dyDescent="0.3">
      <c r="A2" s="2" t="s">
        <v>294</v>
      </c>
      <c r="B2" s="2"/>
      <c r="C2" s="2"/>
      <c r="D2" s="2"/>
      <c r="E2" s="2"/>
      <c r="F2" s="2"/>
      <c r="G2" s="2"/>
    </row>
    <row r="4" spans="1:7" ht="15" customHeight="1" x14ac:dyDescent="0.3">
      <c r="A4" s="65" t="s">
        <v>295</v>
      </c>
      <c r="B4" s="65"/>
      <c r="C4" s="65"/>
      <c r="D4" s="50">
        <v>0.04</v>
      </c>
    </row>
    <row r="6" spans="1:7" ht="36" customHeight="1" x14ac:dyDescent="0.3">
      <c r="A6" s="16" t="s">
        <v>61</v>
      </c>
      <c r="B6" s="16" t="s">
        <v>296</v>
      </c>
      <c r="C6" s="16" t="s">
        <v>297</v>
      </c>
      <c r="D6" s="16" t="s">
        <v>298</v>
      </c>
      <c r="E6" s="16" t="s">
        <v>299</v>
      </c>
      <c r="F6" s="16" t="s">
        <v>300</v>
      </c>
      <c r="G6" s="16" t="s">
        <v>301</v>
      </c>
    </row>
    <row r="7" spans="1:7" ht="15" customHeight="1" x14ac:dyDescent="0.3">
      <c r="A7" s="18" t="s">
        <v>302</v>
      </c>
      <c r="B7" s="30">
        <f>'5. Piloto 33 Motos'!E9</f>
        <v>1640800</v>
      </c>
      <c r="C7" s="28">
        <v>0</v>
      </c>
      <c r="D7" s="28">
        <v>0</v>
      </c>
      <c r="E7" s="28">
        <v>0</v>
      </c>
      <c r="F7" s="28">
        <v>0</v>
      </c>
      <c r="G7" s="31">
        <f>SUM(B7:F7)</f>
        <v>1640800</v>
      </c>
    </row>
    <row r="8" spans="1:7" ht="15" customHeight="1" x14ac:dyDescent="0.3">
      <c r="A8" s="18" t="s">
        <v>303</v>
      </c>
      <c r="B8" s="30">
        <f>'5. Piloto 33 Motos'!E13*12</f>
        <v>11942429.4</v>
      </c>
      <c r="C8" s="28">
        <f t="shared" ref="C8:F9" si="0">B8*(1+$D$4)</f>
        <v>12420126.576000001</v>
      </c>
      <c r="D8" s="28">
        <f t="shared" si="0"/>
        <v>12916931.639040003</v>
      </c>
      <c r="E8" s="28">
        <f t="shared" si="0"/>
        <v>13433608.904601604</v>
      </c>
      <c r="F8" s="28">
        <f t="shared" si="0"/>
        <v>13970953.260785669</v>
      </c>
      <c r="G8" s="31">
        <f>SUM(B8:F8)</f>
        <v>64684049.780427277</v>
      </c>
    </row>
    <row r="9" spans="1:7" ht="15" customHeight="1" x14ac:dyDescent="0.3">
      <c r="A9" s="18" t="s">
        <v>304</v>
      </c>
      <c r="B9" s="30">
        <f>'4. Central Despacho'!$E$24</f>
        <v>145665</v>
      </c>
      <c r="C9" s="28">
        <f t="shared" si="0"/>
        <v>151491.6</v>
      </c>
      <c r="D9" s="28">
        <f t="shared" si="0"/>
        <v>157551.26400000002</v>
      </c>
      <c r="E9" s="28">
        <f t="shared" si="0"/>
        <v>163853.31456000003</v>
      </c>
      <c r="F9" s="28">
        <f t="shared" si="0"/>
        <v>170407.44714240002</v>
      </c>
      <c r="G9" s="31">
        <f>SUM(B9:F9)</f>
        <v>788968.62570239999</v>
      </c>
    </row>
    <row r="10" spans="1:7" ht="25.5" customHeight="1" x14ac:dyDescent="0.3">
      <c r="A10" s="25" t="s">
        <v>305</v>
      </c>
      <c r="B10" s="26">
        <f>SUM(B7:B9)</f>
        <v>13728894.4</v>
      </c>
      <c r="C10" s="26">
        <f>SUM(C7:C9)</f>
        <v>12571618.176000001</v>
      </c>
      <c r="D10" s="26">
        <f>SUM(D7:D9)</f>
        <v>13074482.903040003</v>
      </c>
      <c r="E10" s="26">
        <f>SUM(E7:E9)</f>
        <v>13597462.219161604</v>
      </c>
      <c r="F10" s="26">
        <f>SUM(F7:F9)</f>
        <v>14141360.707928069</v>
      </c>
      <c r="G10" s="26">
        <f>SUM(B10:F10)</f>
        <v>67113818.406129688</v>
      </c>
    </row>
    <row r="11" spans="1:7" ht="30" customHeight="1" x14ac:dyDescent="0.3">
      <c r="A11" s="51" t="s">
        <v>306</v>
      </c>
      <c r="B11" s="52">
        <f>B10</f>
        <v>13728894.4</v>
      </c>
      <c r="C11" s="52">
        <f>B11+C10</f>
        <v>26300512.576000001</v>
      </c>
      <c r="D11" s="52">
        <f>C11+D10</f>
        <v>39374995.479040004</v>
      </c>
      <c r="E11" s="52">
        <f>D11+E10</f>
        <v>52972457.698201612</v>
      </c>
      <c r="F11" s="52">
        <f>E11+F10</f>
        <v>67113818.406129688</v>
      </c>
      <c r="G11" s="53">
        <f>F11</f>
        <v>67113818.406129688</v>
      </c>
    </row>
  </sheetData>
  <mergeCells count="3">
    <mergeCell ref="A1:G1"/>
    <mergeCell ref="A2:G2"/>
    <mergeCell ref="A4:C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1. Portada y Resumen</vt:lpstr>
      <vt:lpstr>2. Supuestos</vt:lpstr>
      <vt:lpstr>3. Costeo por Moto</vt:lpstr>
      <vt:lpstr>4. Central Despacho</vt:lpstr>
      <vt:lpstr>5. Piloto 33 Motos</vt:lpstr>
      <vt:lpstr>6. Propuesta A vs B</vt:lpstr>
      <vt:lpstr>7. Proyección 5 Años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CIIDEG PERÚ</cp:lastModifiedBy>
  <cp:revision>0</cp:revision>
  <dcterms:created xsi:type="dcterms:W3CDTF">2026-05-15T20:29:38Z</dcterms:created>
  <dcterms:modified xsi:type="dcterms:W3CDTF">2026-05-15T21:33:27Z</dcterms:modified>
  <dc:language>en-US</dc:language>
</cp:coreProperties>
</file>